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drawings/drawing6.xml" ContentType="application/vnd.openxmlformats-officedocument.drawing+xml"/>
  <Override PartName="/xl/worksheets/sheet10.xml" ContentType="application/vnd.openxmlformats-officedocument.spreadsheetml.worksheet+xml"/>
  <Override PartName="/xl/drawings/drawing7.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P1 Country x type" sheetId="2" state="visible" r:id="rId2"/>
    <sheet xmlns:r="http://schemas.openxmlformats.org/officeDocument/2006/relationships" name="P1 Requirements per site" sheetId="3" state="visible" r:id="rId3"/>
    <sheet xmlns:r="http://schemas.openxmlformats.org/officeDocument/2006/relationships" name="P1 KPIs" sheetId="4" state="visible" r:id="rId4"/>
    <sheet xmlns:r="http://schemas.openxmlformats.org/officeDocument/2006/relationships" name="P2 Site criticality" sheetId="5" state="visible" r:id="rId5"/>
    <sheet xmlns:r="http://schemas.openxmlformats.org/officeDocument/2006/relationships" name="P2 Site status (checklist)" sheetId="6" state="visible" r:id="rId6"/>
    <sheet xmlns:r="http://schemas.openxmlformats.org/officeDocument/2006/relationships" name="P2 Crit x status (checklist)" sheetId="7" state="visible" r:id="rId7"/>
    <sheet xmlns:r="http://schemas.openxmlformats.org/officeDocument/2006/relationships" name="P2 Key activity (checklist)" sheetId="8" state="visible" r:id="rId8"/>
    <sheet xmlns:r="http://schemas.openxmlformats.org/officeDocument/2006/relationships" name="P2 Report dots" sheetId="9" state="visible" r:id="rId9"/>
    <sheet xmlns:r="http://schemas.openxmlformats.org/officeDocument/2006/relationships" name="P3 Cluster business" sheetId="10" state="visible" r:id="rId10"/>
    <sheet xmlns:r="http://schemas.openxmlformats.org/officeDocument/2006/relationships" name="P3 Cluster KPIs" sheetId="11" state="visible" r:id="rId11"/>
    <sheet xmlns:r="http://schemas.openxmlformats.org/officeDocument/2006/relationships" name="P3 Cluster mix" sheetId="12" state="visible" r:id="rId12"/>
    <sheet xmlns:r="http://schemas.openxmlformats.org/officeDocument/2006/relationships" name="P3 Site heatmap" sheetId="13" state="visible" r:id="rId13"/>
    <sheet xmlns:r="http://schemas.openxmlformats.org/officeDocument/2006/relationships" name="P4 Global high" sheetId="14" state="visible" r:id="rId14"/>
    <sheet xmlns:r="http://schemas.openxmlformats.org/officeDocument/2006/relationships" name="P4 High by cluster" sheetId="15" state="visible" r:id="rId15"/>
    <sheet xmlns:r="http://schemas.openxmlformats.org/officeDocument/2006/relationships" name="P4 High mix" sheetId="16" state="visible" r:id="rId16"/>
    <sheet xmlns:r="http://schemas.openxmlformats.org/officeDocument/2006/relationships" name="P4 All criticality" sheetId="17" state="visible" r:id="rId17"/>
    <sheet xmlns:r="http://schemas.openxmlformats.org/officeDocument/2006/relationships" name="P4 KPIs" sheetId="18" state="visible" r:id="rId18"/>
    <sheet xmlns:r="http://schemas.openxmlformats.org/officeDocument/2006/relationships" name="QA Deck vs checklist" sheetId="19" state="visible" r:id="rId19"/>
    <sheet xmlns:r="http://schemas.openxmlformats.org/officeDocument/2006/relationships" name="QA Deck internal" sheetId="20" state="visible" r:id="rId20"/>
    <sheet xmlns:r="http://schemas.openxmlformats.org/officeDocument/2006/relationships" name="QA Reconciliation" sheetId="21" state="visible" r:id="rId2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B1F3B"/>
      <sz val="14"/>
    </font>
    <font>
      <i val="1"/>
      <color rgb="004A4F66"/>
      <sz val="9"/>
    </font>
    <font>
      <b val="1"/>
      <color rgb="00FFFFFF"/>
    </font>
    <font>
      <b val="1"/>
    </font>
    <font>
      <b val="1"/>
      <color rgb="001B1F3B"/>
    </font>
  </fonts>
  <fills count="3">
    <fill>
      <patternFill/>
    </fill>
    <fill>
      <patternFill patternType="gray125"/>
    </fill>
    <fill>
      <patternFill patternType="solid">
        <fgColor rgb="001B1F3B"/>
      </patternFill>
    </fill>
  </fills>
  <borders count="2">
    <border>
      <left/>
      <right/>
      <top/>
      <bottom/>
      <diagonal/>
    </border>
    <border>
      <left style="thin">
        <color rgb="00D5D8E0"/>
      </left>
      <right style="thin">
        <color rgb="00D5D8E0"/>
      </right>
      <top style="thin">
        <color rgb="00D5D8E0"/>
      </top>
      <bottom style="thin">
        <color rgb="00D5D8E0"/>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0" fillId="0" borderId="1" pivotButton="0" quotePrefix="0" xfId="0"/>
    <xf numFmtId="0" fontId="0" fillId="0" borderId="1" applyAlignment="1" pivotButton="0" quotePrefix="0" xfId="0">
      <alignment vertical="top" wrapText="1"/>
    </xf>
    <xf numFmtId="0" fontId="4" fillId="0" borderId="0" pivotButton="0" quotePrefix="0" xfId="0"/>
    <xf numFmtId="0" fontId="5" fillId="0" borderId="0" pivotButton="0" quotePrefix="0" xfId="0"/>
    <xf numFmtId="0" fontId="3" fillId="2" borderId="0" pivotButton="0" quotePrefix="0" xfId="0"/>
    <xf numFmtId="9" fontId="0" fillId="0" borderId="1" pivotButton="0" quotePrefix="0" xfId="0"/>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Unique legal requirements by country and type of business</a:t>
            </a:r>
          </a:p>
        </rich>
      </tx>
    </title>
    <plotArea>
      <barChart>
        <barDir val="col"/>
        <grouping val="stacked"/>
        <ser>
          <idx val="0"/>
          <order val="0"/>
          <tx>
            <strRef>
              <f>'P1 Country x type'!B4</f>
            </strRef>
          </tx>
          <spPr>
            <a:solidFill xmlns:a="http://schemas.openxmlformats.org/drawingml/2006/main">
              <a:srgbClr val="2F6DB5"/>
            </a:solidFill>
            <a:ln xmlns:a="http://schemas.openxmlformats.org/drawingml/2006/main">
              <a:solidFill>
                <a:srgbClr val="FFFFFF"/>
              </a:solidFill>
              <a:prstDash val="solid"/>
            </a:ln>
          </spPr>
          <cat>
            <numRef>
              <f>'P1 Country x type'!$A$5:$A$11</f>
            </numRef>
          </cat>
          <val>
            <numRef>
              <f>'P1 Country x type'!$B$5:$B$11</f>
            </numRef>
          </val>
        </ser>
        <ser>
          <idx val="1"/>
          <order val="1"/>
          <tx>
            <strRef>
              <f>'P1 Country x type'!C4</f>
            </strRef>
          </tx>
          <spPr>
            <a:solidFill xmlns:a="http://schemas.openxmlformats.org/drawingml/2006/main">
              <a:srgbClr val="8A8FA3"/>
            </a:solidFill>
            <a:ln xmlns:a="http://schemas.openxmlformats.org/drawingml/2006/main">
              <a:solidFill>
                <a:srgbClr val="FFFFFF"/>
              </a:solidFill>
              <a:prstDash val="solid"/>
            </a:ln>
          </spPr>
          <cat>
            <numRef>
              <f>'P1 Country x type'!$A$5:$A$11</f>
            </numRef>
          </cat>
          <val>
            <numRef>
              <f>'P1 Country x type'!$C$5:$C$11</f>
            </numRef>
          </val>
        </ser>
        <ser>
          <idx val="2"/>
          <order val="2"/>
          <tx>
            <strRef>
              <f>'P1 Country x type'!D4</f>
            </strRef>
          </tx>
          <spPr>
            <a:solidFill xmlns:a="http://schemas.openxmlformats.org/drawingml/2006/main">
              <a:srgbClr val="1B1F3B"/>
            </a:solidFill>
            <a:ln xmlns:a="http://schemas.openxmlformats.org/drawingml/2006/main">
              <a:solidFill>
                <a:srgbClr val="FFFFFF"/>
              </a:solidFill>
              <a:prstDash val="solid"/>
            </a:ln>
          </spPr>
          <cat>
            <numRef>
              <f>'P1 Country x type'!$A$5:$A$11</f>
            </numRef>
          </cat>
          <val>
            <numRef>
              <f>'P1 Country x type'!$D$5:$D$11</f>
            </numRef>
          </val>
        </ser>
        <ser>
          <idx val="3"/>
          <order val="3"/>
          <tx>
            <strRef>
              <f>'P1 Country x type'!E4</f>
            </strRef>
          </tx>
          <spPr>
            <a:solidFill xmlns:a="http://schemas.openxmlformats.org/drawingml/2006/main">
              <a:srgbClr val="1FA276"/>
            </a:solidFill>
            <a:ln xmlns:a="http://schemas.openxmlformats.org/drawingml/2006/main">
              <a:solidFill>
                <a:srgbClr val="FFFFFF"/>
              </a:solidFill>
              <a:prstDash val="solid"/>
            </a:ln>
          </spPr>
          <cat>
            <numRef>
              <f>'P1 Country x type'!$A$5:$A$11</f>
            </numRef>
          </cat>
          <val>
            <numRef>
              <f>'P1 Country x type'!$E$5:$E$11</f>
            </numRef>
          </val>
        </ser>
        <ser>
          <idx val="4"/>
          <order val="4"/>
          <tx>
            <strRef>
              <f>'P1 Country x type'!F4</f>
            </strRef>
          </tx>
          <spPr>
            <a:solidFill xmlns:a="http://schemas.openxmlformats.org/drawingml/2006/main">
              <a:srgbClr val="C4A11A"/>
            </a:solidFill>
            <a:ln xmlns:a="http://schemas.openxmlformats.org/drawingml/2006/main">
              <a:solidFill>
                <a:srgbClr val="FFFFFF"/>
              </a:solidFill>
              <a:prstDash val="solid"/>
            </a:ln>
          </spPr>
          <cat>
            <numRef>
              <f>'P1 Country x type'!$A$5:$A$11</f>
            </numRef>
          </cat>
          <val>
            <numRef>
              <f>'P1 Country x type'!$F$5:$F$11</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Unique legal requirements per site</a:t>
            </a:r>
          </a:p>
        </rich>
      </tx>
    </title>
    <plotArea>
      <barChart>
        <barDir val="bar"/>
        <grouping val="clustered"/>
        <ser>
          <idx val="0"/>
          <order val="0"/>
          <tx>
            <strRef>
              <f>'P1 Requirements per site'!E4</f>
            </strRef>
          </tx>
          <spPr>
            <a:solidFill xmlns:a="http://schemas.openxmlformats.org/drawingml/2006/main">
              <a:srgbClr val="1FA276"/>
            </a:solidFill>
            <a:ln xmlns:a="http://schemas.openxmlformats.org/drawingml/2006/main">
              <a:solidFill>
                <a:srgbClr val="FFFFFF"/>
              </a:solidFill>
              <a:prstDash val="solid"/>
            </a:ln>
          </spPr>
          <cat>
            <numRef>
              <f>'P1 Requirements per site'!$C$5:$C$27</f>
            </numRef>
          </cat>
          <val>
            <numRef>
              <f>'P1 Requirements per site'!$E$5:$E$27</f>
            </numRef>
          </val>
        </ser>
        <dLbls>
          <numFmt formatCode="0;-0;;@"/>
          <showLegendKey val="0"/>
          <showVal val="1"/>
          <showCatName val="0"/>
          <showSerName val="0"/>
          <showPercent val="0"/>
          <showLeaderLines val="0"/>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ES-VIT · Vitoria Factory (deck)</a:t>
            </a:r>
          </a:p>
        </rich>
      </tx>
    </title>
    <plotArea>
      <barChart>
        <barDir val="col"/>
        <grouping val="stacked"/>
        <ser>
          <idx val="0"/>
          <order val="0"/>
          <tx>
            <strRef>
              <f>'P2 Site criticality'!B5</f>
            </strRef>
          </tx>
          <spPr>
            <a:solidFill xmlns:a="http://schemas.openxmlformats.org/drawingml/2006/main">
              <a:srgbClr val="1FA276"/>
            </a:solidFill>
            <a:ln xmlns:a="http://schemas.openxmlformats.org/drawingml/2006/main">
              <a:solidFill>
                <a:srgbClr val="FFFFFF"/>
              </a:solidFill>
              <a:prstDash val="solid"/>
            </a:ln>
          </spPr>
          <cat>
            <numRef>
              <f>'P2 Site criticality'!$A$6:$A$8</f>
            </numRef>
          </cat>
          <val>
            <numRef>
              <f>'P2 Site criticality'!$B$6:$B$8</f>
            </numRef>
          </val>
        </ser>
        <ser>
          <idx val="1"/>
          <order val="1"/>
          <tx>
            <strRef>
              <f>'P2 Site criticality'!C5</f>
            </strRef>
          </tx>
          <spPr>
            <a:solidFill xmlns:a="http://schemas.openxmlformats.org/drawingml/2006/main">
              <a:srgbClr val="F0A02C"/>
            </a:solidFill>
            <a:ln xmlns:a="http://schemas.openxmlformats.org/drawingml/2006/main">
              <a:solidFill>
                <a:srgbClr val="FFFFFF"/>
              </a:solidFill>
              <a:prstDash val="solid"/>
            </a:ln>
          </spPr>
          <cat>
            <numRef>
              <f>'P2 Site criticality'!$A$6:$A$8</f>
            </numRef>
          </cat>
          <val>
            <numRef>
              <f>'P2 Site criticality'!$C$6:$C$8</f>
            </numRef>
          </val>
        </ser>
        <ser>
          <idx val="2"/>
          <order val="2"/>
          <tx>
            <strRef>
              <f>'P2 Site criticality'!D5</f>
            </strRef>
          </tx>
          <spPr>
            <a:solidFill xmlns:a="http://schemas.openxmlformats.org/drawingml/2006/main">
              <a:srgbClr val="E24B47"/>
            </a:solidFill>
            <a:ln xmlns:a="http://schemas.openxmlformats.org/drawingml/2006/main">
              <a:solidFill>
                <a:srgbClr val="FFFFFF"/>
              </a:solidFill>
              <a:prstDash val="solid"/>
            </a:ln>
          </spPr>
          <cat>
            <numRef>
              <f>'P2 Site criticality'!$A$6:$A$8</f>
            </numRef>
          </cat>
          <val>
            <numRef>
              <f>'P2 Site criticality'!$D$6:$D$8</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ES-MEC · Meco Warehouse (deck)</a:t>
            </a:r>
          </a:p>
        </rich>
      </tx>
    </title>
    <plotArea>
      <barChart>
        <barDir val="col"/>
        <grouping val="stacked"/>
        <ser>
          <idx val="0"/>
          <order val="0"/>
          <tx>
            <strRef>
              <f>'P2 Site criticality'!B21</f>
            </strRef>
          </tx>
          <spPr>
            <a:solidFill xmlns:a="http://schemas.openxmlformats.org/drawingml/2006/main">
              <a:srgbClr val="1FA276"/>
            </a:solidFill>
            <a:ln xmlns:a="http://schemas.openxmlformats.org/drawingml/2006/main">
              <a:solidFill>
                <a:srgbClr val="FFFFFF"/>
              </a:solidFill>
              <a:prstDash val="solid"/>
            </a:ln>
          </spPr>
          <cat>
            <numRef>
              <f>'P2 Site criticality'!$A$22:$A$24</f>
            </numRef>
          </cat>
          <val>
            <numRef>
              <f>'P2 Site criticality'!$B$22:$B$24</f>
            </numRef>
          </val>
        </ser>
        <ser>
          <idx val="1"/>
          <order val="1"/>
          <tx>
            <strRef>
              <f>'P2 Site criticality'!C21</f>
            </strRef>
          </tx>
          <spPr>
            <a:solidFill xmlns:a="http://schemas.openxmlformats.org/drawingml/2006/main">
              <a:srgbClr val="F0A02C"/>
            </a:solidFill>
            <a:ln xmlns:a="http://schemas.openxmlformats.org/drawingml/2006/main">
              <a:solidFill>
                <a:srgbClr val="FFFFFF"/>
              </a:solidFill>
              <a:prstDash val="solid"/>
            </a:ln>
          </spPr>
          <cat>
            <numRef>
              <f>'P2 Site criticality'!$A$22:$A$24</f>
            </numRef>
          </cat>
          <val>
            <numRef>
              <f>'P2 Site criticality'!$C$22:$C$24</f>
            </numRef>
          </val>
        </ser>
        <ser>
          <idx val="2"/>
          <order val="2"/>
          <tx>
            <strRef>
              <f>'P2 Site criticality'!D21</f>
            </strRef>
          </tx>
          <spPr>
            <a:solidFill xmlns:a="http://schemas.openxmlformats.org/drawingml/2006/main">
              <a:srgbClr val="E24B47"/>
            </a:solidFill>
            <a:ln xmlns:a="http://schemas.openxmlformats.org/drawingml/2006/main">
              <a:solidFill>
                <a:srgbClr val="FFFFFF"/>
              </a:solidFill>
              <a:prstDash val="solid"/>
            </a:ln>
          </spPr>
          <cat>
            <numRef>
              <f>'P2 Site criticality'!$A$22:$A$24</f>
            </numRef>
          </cat>
          <val>
            <numRef>
              <f>'P2 Site criticality'!$D$22:$D$24</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ES-SEV · Sevilla Warehouse (deck)</a:t>
            </a:r>
          </a:p>
        </rich>
      </tx>
    </title>
    <plotArea>
      <barChart>
        <barDir val="col"/>
        <grouping val="stacked"/>
        <ser>
          <idx val="0"/>
          <order val="0"/>
          <tx>
            <strRef>
              <f>'P2 Site criticality'!B37</f>
            </strRef>
          </tx>
          <spPr>
            <a:solidFill xmlns:a="http://schemas.openxmlformats.org/drawingml/2006/main">
              <a:srgbClr val="1FA276"/>
            </a:solidFill>
            <a:ln xmlns:a="http://schemas.openxmlformats.org/drawingml/2006/main">
              <a:solidFill>
                <a:srgbClr val="FFFFFF"/>
              </a:solidFill>
              <a:prstDash val="solid"/>
            </a:ln>
          </spPr>
          <cat>
            <numRef>
              <f>'P2 Site criticality'!$A$38:$A$40</f>
            </numRef>
          </cat>
          <val>
            <numRef>
              <f>'P2 Site criticality'!$B$38:$B$40</f>
            </numRef>
          </val>
        </ser>
        <ser>
          <idx val="1"/>
          <order val="1"/>
          <tx>
            <strRef>
              <f>'P2 Site criticality'!C37</f>
            </strRef>
          </tx>
          <spPr>
            <a:solidFill xmlns:a="http://schemas.openxmlformats.org/drawingml/2006/main">
              <a:srgbClr val="F0A02C"/>
            </a:solidFill>
            <a:ln xmlns:a="http://schemas.openxmlformats.org/drawingml/2006/main">
              <a:solidFill>
                <a:srgbClr val="FFFFFF"/>
              </a:solidFill>
              <a:prstDash val="solid"/>
            </a:ln>
          </spPr>
          <cat>
            <numRef>
              <f>'P2 Site criticality'!$A$38:$A$40</f>
            </numRef>
          </cat>
          <val>
            <numRef>
              <f>'P2 Site criticality'!$C$38:$C$40</f>
            </numRef>
          </val>
        </ser>
        <ser>
          <idx val="2"/>
          <order val="2"/>
          <tx>
            <strRef>
              <f>'P2 Site criticality'!D37</f>
            </strRef>
          </tx>
          <spPr>
            <a:solidFill xmlns:a="http://schemas.openxmlformats.org/drawingml/2006/main">
              <a:srgbClr val="E24B47"/>
            </a:solidFill>
            <a:ln xmlns:a="http://schemas.openxmlformats.org/drawingml/2006/main">
              <a:solidFill>
                <a:srgbClr val="FFFFFF"/>
              </a:solidFill>
              <a:prstDash val="solid"/>
            </a:ln>
          </spPr>
          <cat>
            <numRef>
              <f>'P2 Site criticality'!$A$38:$A$40</f>
            </numRef>
          </cat>
          <val>
            <numRef>
              <f>'P2 Site criticality'!$D$38:$D$40</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ES-VAL · Valencia Warehouse (deck)</a:t>
            </a:r>
          </a:p>
        </rich>
      </tx>
    </title>
    <plotArea>
      <barChart>
        <barDir val="col"/>
        <grouping val="stacked"/>
        <ser>
          <idx val="0"/>
          <order val="0"/>
          <tx>
            <strRef>
              <f>'P2 Site criticality'!B53</f>
            </strRef>
          </tx>
          <spPr>
            <a:solidFill xmlns:a="http://schemas.openxmlformats.org/drawingml/2006/main">
              <a:srgbClr val="1FA276"/>
            </a:solidFill>
            <a:ln xmlns:a="http://schemas.openxmlformats.org/drawingml/2006/main">
              <a:solidFill>
                <a:srgbClr val="FFFFFF"/>
              </a:solidFill>
              <a:prstDash val="solid"/>
            </a:ln>
          </spPr>
          <cat>
            <numRef>
              <f>'P2 Site criticality'!$A$54:$A$56</f>
            </numRef>
          </cat>
          <val>
            <numRef>
              <f>'P2 Site criticality'!$B$54:$B$56</f>
            </numRef>
          </val>
        </ser>
        <ser>
          <idx val="1"/>
          <order val="1"/>
          <tx>
            <strRef>
              <f>'P2 Site criticality'!C53</f>
            </strRef>
          </tx>
          <spPr>
            <a:solidFill xmlns:a="http://schemas.openxmlformats.org/drawingml/2006/main">
              <a:srgbClr val="F0A02C"/>
            </a:solidFill>
            <a:ln xmlns:a="http://schemas.openxmlformats.org/drawingml/2006/main">
              <a:solidFill>
                <a:srgbClr val="FFFFFF"/>
              </a:solidFill>
              <a:prstDash val="solid"/>
            </a:ln>
          </spPr>
          <cat>
            <numRef>
              <f>'P2 Site criticality'!$A$54:$A$56</f>
            </numRef>
          </cat>
          <val>
            <numRef>
              <f>'P2 Site criticality'!$C$54:$C$56</f>
            </numRef>
          </val>
        </ser>
        <ser>
          <idx val="2"/>
          <order val="2"/>
          <tx>
            <strRef>
              <f>'P2 Site criticality'!D53</f>
            </strRef>
          </tx>
          <spPr>
            <a:solidFill xmlns:a="http://schemas.openxmlformats.org/drawingml/2006/main">
              <a:srgbClr val="E24B47"/>
            </a:solidFill>
            <a:ln xmlns:a="http://schemas.openxmlformats.org/drawingml/2006/main">
              <a:solidFill>
                <a:srgbClr val="FFFFFF"/>
              </a:solidFill>
              <a:prstDash val="solid"/>
            </a:ln>
          </spPr>
          <cat>
            <numRef>
              <f>'P2 Site criticality'!$A$54:$A$56</f>
            </numRef>
          </cat>
          <val>
            <numRef>
              <f>'P2 Site criticality'!$D$54:$D$56</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ES-BUR · Burgos Warehouse (deck)</a:t>
            </a:r>
          </a:p>
        </rich>
      </tx>
    </title>
    <plotArea>
      <barChart>
        <barDir val="col"/>
        <grouping val="stacked"/>
        <ser>
          <idx val="0"/>
          <order val="0"/>
          <tx>
            <strRef>
              <f>'P2 Site criticality'!B69</f>
            </strRef>
          </tx>
          <spPr>
            <a:solidFill xmlns:a="http://schemas.openxmlformats.org/drawingml/2006/main">
              <a:srgbClr val="1FA276"/>
            </a:solidFill>
            <a:ln xmlns:a="http://schemas.openxmlformats.org/drawingml/2006/main">
              <a:solidFill>
                <a:srgbClr val="FFFFFF"/>
              </a:solidFill>
              <a:prstDash val="solid"/>
            </a:ln>
          </spPr>
          <cat>
            <numRef>
              <f>'P2 Site criticality'!$A$70:$A$72</f>
            </numRef>
          </cat>
          <val>
            <numRef>
              <f>'P2 Site criticality'!$B$70:$B$72</f>
            </numRef>
          </val>
        </ser>
        <ser>
          <idx val="1"/>
          <order val="1"/>
          <tx>
            <strRef>
              <f>'P2 Site criticality'!C69</f>
            </strRef>
          </tx>
          <spPr>
            <a:solidFill xmlns:a="http://schemas.openxmlformats.org/drawingml/2006/main">
              <a:srgbClr val="F0A02C"/>
            </a:solidFill>
            <a:ln xmlns:a="http://schemas.openxmlformats.org/drawingml/2006/main">
              <a:solidFill>
                <a:srgbClr val="FFFFFF"/>
              </a:solidFill>
              <a:prstDash val="solid"/>
            </a:ln>
          </spPr>
          <cat>
            <numRef>
              <f>'P2 Site criticality'!$A$70:$A$72</f>
            </numRef>
          </cat>
          <val>
            <numRef>
              <f>'P2 Site criticality'!$C$70:$C$72</f>
            </numRef>
          </val>
        </ser>
        <ser>
          <idx val="2"/>
          <order val="2"/>
          <tx>
            <strRef>
              <f>'P2 Site criticality'!D69</f>
            </strRef>
          </tx>
          <spPr>
            <a:solidFill xmlns:a="http://schemas.openxmlformats.org/drawingml/2006/main">
              <a:srgbClr val="E24B47"/>
            </a:solidFill>
            <a:ln xmlns:a="http://schemas.openxmlformats.org/drawingml/2006/main">
              <a:solidFill>
                <a:srgbClr val="FFFFFF"/>
              </a:solidFill>
              <a:prstDash val="solid"/>
            </a:ln>
          </spPr>
          <cat>
            <numRef>
              <f>'P2 Site criticality'!$A$70:$A$72</f>
            </numRef>
          </cat>
          <val>
            <numRef>
              <f>'P2 Site criticality'!$D$70:$D$72</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ES-AND · Andoain Warehouse (deck)</a:t>
            </a:r>
          </a:p>
        </rich>
      </tx>
    </title>
    <plotArea>
      <barChart>
        <barDir val="col"/>
        <grouping val="stacked"/>
        <ser>
          <idx val="0"/>
          <order val="0"/>
          <tx>
            <strRef>
              <f>'P2 Site criticality'!B85</f>
            </strRef>
          </tx>
          <spPr>
            <a:solidFill xmlns:a="http://schemas.openxmlformats.org/drawingml/2006/main">
              <a:srgbClr val="1FA276"/>
            </a:solidFill>
            <a:ln xmlns:a="http://schemas.openxmlformats.org/drawingml/2006/main">
              <a:solidFill>
                <a:srgbClr val="FFFFFF"/>
              </a:solidFill>
              <a:prstDash val="solid"/>
            </a:ln>
          </spPr>
          <cat>
            <numRef>
              <f>'P2 Site criticality'!$A$86:$A$88</f>
            </numRef>
          </cat>
          <val>
            <numRef>
              <f>'P2 Site criticality'!$B$86:$B$88</f>
            </numRef>
          </val>
        </ser>
        <ser>
          <idx val="1"/>
          <order val="1"/>
          <tx>
            <strRef>
              <f>'P2 Site criticality'!C85</f>
            </strRef>
          </tx>
          <spPr>
            <a:solidFill xmlns:a="http://schemas.openxmlformats.org/drawingml/2006/main">
              <a:srgbClr val="F0A02C"/>
            </a:solidFill>
            <a:ln xmlns:a="http://schemas.openxmlformats.org/drawingml/2006/main">
              <a:solidFill>
                <a:srgbClr val="FFFFFF"/>
              </a:solidFill>
              <a:prstDash val="solid"/>
            </a:ln>
          </spPr>
          <cat>
            <numRef>
              <f>'P2 Site criticality'!$A$86:$A$88</f>
            </numRef>
          </cat>
          <val>
            <numRef>
              <f>'P2 Site criticality'!$C$86:$C$88</f>
            </numRef>
          </val>
        </ser>
        <ser>
          <idx val="2"/>
          <order val="2"/>
          <tx>
            <strRef>
              <f>'P2 Site criticality'!D85</f>
            </strRef>
          </tx>
          <spPr>
            <a:solidFill xmlns:a="http://schemas.openxmlformats.org/drawingml/2006/main">
              <a:srgbClr val="E24B47"/>
            </a:solidFill>
            <a:ln xmlns:a="http://schemas.openxmlformats.org/drawingml/2006/main">
              <a:solidFill>
                <a:srgbClr val="FFFFFF"/>
              </a:solidFill>
              <a:prstDash val="solid"/>
            </a:ln>
          </spPr>
          <cat>
            <numRef>
              <f>'P2 Site criticality'!$A$86:$A$88</f>
            </numRef>
          </cat>
          <val>
            <numRef>
              <f>'P2 Site criticality'!$D$86:$D$88</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ES-MAD · Madrid Office (deck)</a:t>
            </a:r>
          </a:p>
        </rich>
      </tx>
    </title>
    <plotArea>
      <barChart>
        <barDir val="col"/>
        <grouping val="stacked"/>
        <ser>
          <idx val="0"/>
          <order val="0"/>
          <tx>
            <strRef>
              <f>'P2 Site criticality'!B101</f>
            </strRef>
          </tx>
          <spPr>
            <a:solidFill xmlns:a="http://schemas.openxmlformats.org/drawingml/2006/main">
              <a:srgbClr val="1FA276"/>
            </a:solidFill>
            <a:ln xmlns:a="http://schemas.openxmlformats.org/drawingml/2006/main">
              <a:solidFill>
                <a:srgbClr val="FFFFFF"/>
              </a:solidFill>
              <a:prstDash val="solid"/>
            </a:ln>
          </spPr>
          <cat>
            <numRef>
              <f>'P2 Site criticality'!$A$102:$A$104</f>
            </numRef>
          </cat>
          <val>
            <numRef>
              <f>'P2 Site criticality'!$B$102:$B$104</f>
            </numRef>
          </val>
        </ser>
        <ser>
          <idx val="1"/>
          <order val="1"/>
          <tx>
            <strRef>
              <f>'P2 Site criticality'!C101</f>
            </strRef>
          </tx>
          <spPr>
            <a:solidFill xmlns:a="http://schemas.openxmlformats.org/drawingml/2006/main">
              <a:srgbClr val="F0A02C"/>
            </a:solidFill>
            <a:ln xmlns:a="http://schemas.openxmlformats.org/drawingml/2006/main">
              <a:solidFill>
                <a:srgbClr val="FFFFFF"/>
              </a:solidFill>
              <a:prstDash val="solid"/>
            </a:ln>
          </spPr>
          <cat>
            <numRef>
              <f>'P2 Site criticality'!$A$102:$A$104</f>
            </numRef>
          </cat>
          <val>
            <numRef>
              <f>'P2 Site criticality'!$C$102:$C$104</f>
            </numRef>
          </val>
        </ser>
        <ser>
          <idx val="2"/>
          <order val="2"/>
          <tx>
            <strRef>
              <f>'P2 Site criticality'!D101</f>
            </strRef>
          </tx>
          <spPr>
            <a:solidFill xmlns:a="http://schemas.openxmlformats.org/drawingml/2006/main">
              <a:srgbClr val="E24B47"/>
            </a:solidFill>
            <a:ln xmlns:a="http://schemas.openxmlformats.org/drawingml/2006/main">
              <a:solidFill>
                <a:srgbClr val="FFFFFF"/>
              </a:solidFill>
              <a:prstDash val="solid"/>
            </a:ln>
          </spPr>
          <cat>
            <numRef>
              <f>'P2 Site criticality'!$A$102:$A$104</f>
            </numRef>
          </cat>
          <val>
            <numRef>
              <f>'P2 Site criticality'!$D$102:$D$104</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ES-ACO · A Coruña – Repsol in-house warehouse (deck)</a:t>
            </a:r>
          </a:p>
        </rich>
      </tx>
    </title>
    <plotArea>
      <barChart>
        <barDir val="col"/>
        <grouping val="stacked"/>
        <ser>
          <idx val="0"/>
          <order val="0"/>
          <tx>
            <strRef>
              <f>'P2 Site criticality'!B117</f>
            </strRef>
          </tx>
          <spPr>
            <a:solidFill xmlns:a="http://schemas.openxmlformats.org/drawingml/2006/main">
              <a:srgbClr val="1FA276"/>
            </a:solidFill>
            <a:ln xmlns:a="http://schemas.openxmlformats.org/drawingml/2006/main">
              <a:solidFill>
                <a:srgbClr val="FFFFFF"/>
              </a:solidFill>
              <a:prstDash val="solid"/>
            </a:ln>
          </spPr>
          <cat>
            <numRef>
              <f>'P2 Site criticality'!$A$118:$A$120</f>
            </numRef>
          </cat>
          <val>
            <numRef>
              <f>'P2 Site criticality'!$B$118:$B$120</f>
            </numRef>
          </val>
        </ser>
        <ser>
          <idx val="1"/>
          <order val="1"/>
          <tx>
            <strRef>
              <f>'P2 Site criticality'!C117</f>
            </strRef>
          </tx>
          <spPr>
            <a:solidFill xmlns:a="http://schemas.openxmlformats.org/drawingml/2006/main">
              <a:srgbClr val="F0A02C"/>
            </a:solidFill>
            <a:ln xmlns:a="http://schemas.openxmlformats.org/drawingml/2006/main">
              <a:solidFill>
                <a:srgbClr val="FFFFFF"/>
              </a:solidFill>
              <a:prstDash val="solid"/>
            </a:ln>
          </spPr>
          <cat>
            <numRef>
              <f>'P2 Site criticality'!$A$118:$A$120</f>
            </numRef>
          </cat>
          <val>
            <numRef>
              <f>'P2 Site criticality'!$C$118:$C$120</f>
            </numRef>
          </val>
        </ser>
        <ser>
          <idx val="2"/>
          <order val="2"/>
          <tx>
            <strRef>
              <f>'P2 Site criticality'!D117</f>
            </strRef>
          </tx>
          <spPr>
            <a:solidFill xmlns:a="http://schemas.openxmlformats.org/drawingml/2006/main">
              <a:srgbClr val="E24B47"/>
            </a:solidFill>
            <a:ln xmlns:a="http://schemas.openxmlformats.org/drawingml/2006/main">
              <a:solidFill>
                <a:srgbClr val="FFFFFF"/>
              </a:solidFill>
              <a:prstDash val="solid"/>
            </a:ln>
          </spPr>
          <cat>
            <numRef>
              <f>'P2 Site criticality'!$A$118:$A$120</f>
            </numRef>
          </cat>
          <val>
            <numRef>
              <f>'P2 Site criticality'!$D$118:$D$120</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PT-AVE · Aveiro Office (deck)</a:t>
            </a:r>
          </a:p>
        </rich>
      </tx>
    </title>
    <plotArea>
      <barChart>
        <barDir val="col"/>
        <grouping val="stacked"/>
        <ser>
          <idx val="0"/>
          <order val="0"/>
          <tx>
            <strRef>
              <f>'P2 Site criticality'!B133</f>
            </strRef>
          </tx>
          <spPr>
            <a:solidFill xmlns:a="http://schemas.openxmlformats.org/drawingml/2006/main">
              <a:srgbClr val="1FA276"/>
            </a:solidFill>
            <a:ln xmlns:a="http://schemas.openxmlformats.org/drawingml/2006/main">
              <a:solidFill>
                <a:srgbClr val="FFFFFF"/>
              </a:solidFill>
              <a:prstDash val="solid"/>
            </a:ln>
          </spPr>
          <cat>
            <numRef>
              <f>'P2 Site criticality'!$A$134:$A$136</f>
            </numRef>
          </cat>
          <val>
            <numRef>
              <f>'P2 Site criticality'!$B$134:$B$136</f>
            </numRef>
          </val>
        </ser>
        <ser>
          <idx val="1"/>
          <order val="1"/>
          <tx>
            <strRef>
              <f>'P2 Site criticality'!C133</f>
            </strRef>
          </tx>
          <spPr>
            <a:solidFill xmlns:a="http://schemas.openxmlformats.org/drawingml/2006/main">
              <a:srgbClr val="F0A02C"/>
            </a:solidFill>
            <a:ln xmlns:a="http://schemas.openxmlformats.org/drawingml/2006/main">
              <a:solidFill>
                <a:srgbClr val="FFFFFF"/>
              </a:solidFill>
              <a:prstDash val="solid"/>
            </a:ln>
          </spPr>
          <cat>
            <numRef>
              <f>'P2 Site criticality'!$A$134:$A$136</f>
            </numRef>
          </cat>
          <val>
            <numRef>
              <f>'P2 Site criticality'!$C$134:$C$136</f>
            </numRef>
          </val>
        </ser>
        <ser>
          <idx val="2"/>
          <order val="2"/>
          <tx>
            <strRef>
              <f>'P2 Site criticality'!D133</f>
            </strRef>
          </tx>
          <spPr>
            <a:solidFill xmlns:a="http://schemas.openxmlformats.org/drawingml/2006/main">
              <a:srgbClr val="E24B47"/>
            </a:solidFill>
            <a:ln xmlns:a="http://schemas.openxmlformats.org/drawingml/2006/main">
              <a:solidFill>
                <a:srgbClr val="FFFFFF"/>
              </a:solidFill>
              <a:prstDash val="solid"/>
            </a:ln>
          </spPr>
          <cat>
            <numRef>
              <f>'P2 Site criticality'!$A$134:$A$136</f>
            </numRef>
          </cat>
          <val>
            <numRef>
              <f>'P2 Site criticality'!$D$134:$D$136</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MX-MTY · Monterrey Warehouse (owned) (deck)</a:t>
            </a:r>
          </a:p>
        </rich>
      </tx>
    </title>
    <plotArea>
      <barChart>
        <barDir val="col"/>
        <grouping val="stacked"/>
        <ser>
          <idx val="0"/>
          <order val="0"/>
          <tx>
            <strRef>
              <f>'P2 Site criticality'!B149</f>
            </strRef>
          </tx>
          <spPr>
            <a:solidFill xmlns:a="http://schemas.openxmlformats.org/drawingml/2006/main">
              <a:srgbClr val="1FA276"/>
            </a:solidFill>
            <a:ln xmlns:a="http://schemas.openxmlformats.org/drawingml/2006/main">
              <a:solidFill>
                <a:srgbClr val="FFFFFF"/>
              </a:solidFill>
              <a:prstDash val="solid"/>
            </a:ln>
          </spPr>
          <cat>
            <numRef>
              <f>'P2 Site criticality'!$A$150:$A$152</f>
            </numRef>
          </cat>
          <val>
            <numRef>
              <f>'P2 Site criticality'!$B$150:$B$152</f>
            </numRef>
          </val>
        </ser>
        <ser>
          <idx val="1"/>
          <order val="1"/>
          <tx>
            <strRef>
              <f>'P2 Site criticality'!C149</f>
            </strRef>
          </tx>
          <spPr>
            <a:solidFill xmlns:a="http://schemas.openxmlformats.org/drawingml/2006/main">
              <a:srgbClr val="F0A02C"/>
            </a:solidFill>
            <a:ln xmlns:a="http://schemas.openxmlformats.org/drawingml/2006/main">
              <a:solidFill>
                <a:srgbClr val="FFFFFF"/>
              </a:solidFill>
              <a:prstDash val="solid"/>
            </a:ln>
          </spPr>
          <cat>
            <numRef>
              <f>'P2 Site criticality'!$A$150:$A$152</f>
            </numRef>
          </cat>
          <val>
            <numRef>
              <f>'P2 Site criticality'!$C$150:$C$152</f>
            </numRef>
          </val>
        </ser>
        <ser>
          <idx val="2"/>
          <order val="2"/>
          <tx>
            <strRef>
              <f>'P2 Site criticality'!D149</f>
            </strRef>
          </tx>
          <spPr>
            <a:solidFill xmlns:a="http://schemas.openxmlformats.org/drawingml/2006/main">
              <a:srgbClr val="E24B47"/>
            </a:solidFill>
            <a:ln xmlns:a="http://schemas.openxmlformats.org/drawingml/2006/main">
              <a:solidFill>
                <a:srgbClr val="FFFFFF"/>
              </a:solidFill>
              <a:prstDash val="solid"/>
            </a:ln>
          </spPr>
          <cat>
            <numRef>
              <f>'P2 Site criticality'!$A$150:$A$152</f>
            </numRef>
          </cat>
          <val>
            <numRef>
              <f>'P2 Site criticality'!$D$150:$D$152</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MX-CDMX · CDMX Office (deck)</a:t>
            </a:r>
          </a:p>
        </rich>
      </tx>
    </title>
    <plotArea>
      <barChart>
        <barDir val="col"/>
        <grouping val="stacked"/>
        <ser>
          <idx val="0"/>
          <order val="0"/>
          <tx>
            <strRef>
              <f>'P2 Site criticality'!B165</f>
            </strRef>
          </tx>
          <spPr>
            <a:solidFill xmlns:a="http://schemas.openxmlformats.org/drawingml/2006/main">
              <a:srgbClr val="1FA276"/>
            </a:solidFill>
            <a:ln xmlns:a="http://schemas.openxmlformats.org/drawingml/2006/main">
              <a:solidFill>
                <a:srgbClr val="FFFFFF"/>
              </a:solidFill>
              <a:prstDash val="solid"/>
            </a:ln>
          </spPr>
          <cat>
            <numRef>
              <f>'P2 Site criticality'!$A$166:$A$168</f>
            </numRef>
          </cat>
          <val>
            <numRef>
              <f>'P2 Site criticality'!$B$166:$B$168</f>
            </numRef>
          </val>
        </ser>
        <ser>
          <idx val="1"/>
          <order val="1"/>
          <tx>
            <strRef>
              <f>'P2 Site criticality'!C165</f>
            </strRef>
          </tx>
          <spPr>
            <a:solidFill xmlns:a="http://schemas.openxmlformats.org/drawingml/2006/main">
              <a:srgbClr val="F0A02C"/>
            </a:solidFill>
            <a:ln xmlns:a="http://schemas.openxmlformats.org/drawingml/2006/main">
              <a:solidFill>
                <a:srgbClr val="FFFFFF"/>
              </a:solidFill>
              <a:prstDash val="solid"/>
            </a:ln>
          </spPr>
          <cat>
            <numRef>
              <f>'P2 Site criticality'!$A$166:$A$168</f>
            </numRef>
          </cat>
          <val>
            <numRef>
              <f>'P2 Site criticality'!$C$166:$C$168</f>
            </numRef>
          </val>
        </ser>
        <ser>
          <idx val="2"/>
          <order val="2"/>
          <tx>
            <strRef>
              <f>'P2 Site criticality'!D165</f>
            </strRef>
          </tx>
          <spPr>
            <a:solidFill xmlns:a="http://schemas.openxmlformats.org/drawingml/2006/main">
              <a:srgbClr val="E24B47"/>
            </a:solidFill>
            <a:ln xmlns:a="http://schemas.openxmlformats.org/drawingml/2006/main">
              <a:solidFill>
                <a:srgbClr val="FFFFFF"/>
              </a:solidFill>
              <a:prstDash val="solid"/>
            </a:ln>
          </spPr>
          <cat>
            <numRef>
              <f>'P2 Site criticality'!$A$166:$A$168</f>
            </numRef>
          </cat>
          <val>
            <numRef>
              <f>'P2 Site criticality'!$D$166:$D$168</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MX-INO · EPC INOAC (deck)</a:t>
            </a:r>
          </a:p>
        </rich>
      </tx>
    </title>
    <plotArea>
      <barChart>
        <barDir val="col"/>
        <grouping val="stacked"/>
        <ser>
          <idx val="0"/>
          <order val="0"/>
          <tx>
            <strRef>
              <f>'P2 Site criticality'!B181</f>
            </strRef>
          </tx>
          <spPr>
            <a:solidFill xmlns:a="http://schemas.openxmlformats.org/drawingml/2006/main">
              <a:srgbClr val="1FA276"/>
            </a:solidFill>
            <a:ln xmlns:a="http://schemas.openxmlformats.org/drawingml/2006/main">
              <a:solidFill>
                <a:srgbClr val="FFFFFF"/>
              </a:solidFill>
              <a:prstDash val="solid"/>
            </a:ln>
          </spPr>
          <cat>
            <numRef>
              <f>'P2 Site criticality'!$A$182:$A$184</f>
            </numRef>
          </cat>
          <val>
            <numRef>
              <f>'P2 Site criticality'!$B$182:$B$184</f>
            </numRef>
          </val>
        </ser>
        <ser>
          <idx val="1"/>
          <order val="1"/>
          <tx>
            <strRef>
              <f>'P2 Site criticality'!C181</f>
            </strRef>
          </tx>
          <spPr>
            <a:solidFill xmlns:a="http://schemas.openxmlformats.org/drawingml/2006/main">
              <a:srgbClr val="F0A02C"/>
            </a:solidFill>
            <a:ln xmlns:a="http://schemas.openxmlformats.org/drawingml/2006/main">
              <a:solidFill>
                <a:srgbClr val="FFFFFF"/>
              </a:solidFill>
              <a:prstDash val="solid"/>
            </a:ln>
          </spPr>
          <cat>
            <numRef>
              <f>'P2 Site criticality'!$A$182:$A$184</f>
            </numRef>
          </cat>
          <val>
            <numRef>
              <f>'P2 Site criticality'!$C$182:$C$184</f>
            </numRef>
          </val>
        </ser>
        <ser>
          <idx val="2"/>
          <order val="2"/>
          <tx>
            <strRef>
              <f>'P2 Site criticality'!D181</f>
            </strRef>
          </tx>
          <spPr>
            <a:solidFill xmlns:a="http://schemas.openxmlformats.org/drawingml/2006/main">
              <a:srgbClr val="E24B47"/>
            </a:solidFill>
            <a:ln xmlns:a="http://schemas.openxmlformats.org/drawingml/2006/main">
              <a:solidFill>
                <a:srgbClr val="FFFFFF"/>
              </a:solidFill>
              <a:prstDash val="solid"/>
            </a:ln>
          </spPr>
          <cat>
            <numRef>
              <f>'P2 Site criticality'!$A$182:$A$184</f>
            </numRef>
          </cat>
          <val>
            <numRef>
              <f>'P2 Site criticality'!$D$182:$D$184</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MX-IBE · Iberdrola in-house warehouse (checklist)</a:t>
            </a:r>
          </a:p>
        </rich>
      </tx>
    </title>
    <plotArea>
      <barChart>
        <barDir val="col"/>
        <grouping val="stacked"/>
        <ser>
          <idx val="0"/>
          <order val="0"/>
          <tx>
            <strRef>
              <f>'P2 Site criticality'!B197</f>
            </strRef>
          </tx>
          <spPr>
            <a:solidFill xmlns:a="http://schemas.openxmlformats.org/drawingml/2006/main">
              <a:srgbClr val="1FA276"/>
            </a:solidFill>
            <a:ln xmlns:a="http://schemas.openxmlformats.org/drawingml/2006/main">
              <a:solidFill>
                <a:srgbClr val="FFFFFF"/>
              </a:solidFill>
              <a:prstDash val="solid"/>
            </a:ln>
          </spPr>
          <cat>
            <numRef>
              <f>'P2 Site criticality'!$A$198:$A$200</f>
            </numRef>
          </cat>
          <val>
            <numRef>
              <f>'P2 Site criticality'!$B$198:$B$200</f>
            </numRef>
          </val>
        </ser>
        <ser>
          <idx val="1"/>
          <order val="1"/>
          <tx>
            <strRef>
              <f>'P2 Site criticality'!C197</f>
            </strRef>
          </tx>
          <spPr>
            <a:solidFill xmlns:a="http://schemas.openxmlformats.org/drawingml/2006/main">
              <a:srgbClr val="F0A02C"/>
            </a:solidFill>
            <a:ln xmlns:a="http://schemas.openxmlformats.org/drawingml/2006/main">
              <a:solidFill>
                <a:srgbClr val="FFFFFF"/>
              </a:solidFill>
              <a:prstDash val="solid"/>
            </a:ln>
          </spPr>
          <cat>
            <numRef>
              <f>'P2 Site criticality'!$A$198:$A$200</f>
            </numRef>
          </cat>
          <val>
            <numRef>
              <f>'P2 Site criticality'!$C$198:$C$200</f>
            </numRef>
          </val>
        </ser>
        <ser>
          <idx val="2"/>
          <order val="2"/>
          <tx>
            <strRef>
              <f>'P2 Site criticality'!D197</f>
            </strRef>
          </tx>
          <spPr>
            <a:solidFill xmlns:a="http://schemas.openxmlformats.org/drawingml/2006/main">
              <a:srgbClr val="E24B47"/>
            </a:solidFill>
            <a:ln xmlns:a="http://schemas.openxmlformats.org/drawingml/2006/main">
              <a:solidFill>
                <a:srgbClr val="FFFFFF"/>
              </a:solidFill>
              <a:prstDash val="solid"/>
            </a:ln>
          </spPr>
          <cat>
            <numRef>
              <f>'P2 Site criticality'!$A$198:$A$200</f>
            </numRef>
          </cat>
          <val>
            <numRef>
              <f>'P2 Site criticality'!$D$198:$D$200</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MX-BRA · Braskem in-house warehouse (checklist)</a:t>
            </a:r>
          </a:p>
        </rich>
      </tx>
    </title>
    <plotArea>
      <barChart>
        <barDir val="col"/>
        <grouping val="stacked"/>
        <ser>
          <idx val="0"/>
          <order val="0"/>
          <tx>
            <strRef>
              <f>'P2 Site criticality'!B213</f>
            </strRef>
          </tx>
          <spPr>
            <a:solidFill xmlns:a="http://schemas.openxmlformats.org/drawingml/2006/main">
              <a:srgbClr val="1FA276"/>
            </a:solidFill>
            <a:ln xmlns:a="http://schemas.openxmlformats.org/drawingml/2006/main">
              <a:solidFill>
                <a:srgbClr val="FFFFFF"/>
              </a:solidFill>
              <a:prstDash val="solid"/>
            </a:ln>
          </spPr>
          <cat>
            <numRef>
              <f>'P2 Site criticality'!$A$214:$A$216</f>
            </numRef>
          </cat>
          <val>
            <numRef>
              <f>'P2 Site criticality'!$B$214:$B$216</f>
            </numRef>
          </val>
        </ser>
        <ser>
          <idx val="1"/>
          <order val="1"/>
          <tx>
            <strRef>
              <f>'P2 Site criticality'!C213</f>
            </strRef>
          </tx>
          <spPr>
            <a:solidFill xmlns:a="http://schemas.openxmlformats.org/drawingml/2006/main">
              <a:srgbClr val="F0A02C"/>
            </a:solidFill>
            <a:ln xmlns:a="http://schemas.openxmlformats.org/drawingml/2006/main">
              <a:solidFill>
                <a:srgbClr val="FFFFFF"/>
              </a:solidFill>
              <a:prstDash val="solid"/>
            </a:ln>
          </spPr>
          <cat>
            <numRef>
              <f>'P2 Site criticality'!$A$214:$A$216</f>
            </numRef>
          </cat>
          <val>
            <numRef>
              <f>'P2 Site criticality'!$C$214:$C$216</f>
            </numRef>
          </val>
        </ser>
        <ser>
          <idx val="2"/>
          <order val="2"/>
          <tx>
            <strRef>
              <f>'P2 Site criticality'!D213</f>
            </strRef>
          </tx>
          <spPr>
            <a:solidFill xmlns:a="http://schemas.openxmlformats.org/drawingml/2006/main">
              <a:srgbClr val="E24B47"/>
            </a:solidFill>
            <a:ln xmlns:a="http://schemas.openxmlformats.org/drawingml/2006/main">
              <a:solidFill>
                <a:srgbClr val="FFFFFF"/>
              </a:solidFill>
              <a:prstDash val="solid"/>
            </a:ln>
          </spPr>
          <cat>
            <numRef>
              <f>'P2 Site criticality'!$A$214:$A$216</f>
            </numRef>
          </cat>
          <val>
            <numRef>
              <f>'P2 Site criticality'!$D$214:$D$216</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MX-ALT · Altamira – Quantum warehouse &amp; services (checklist)</a:t>
            </a:r>
          </a:p>
        </rich>
      </tx>
    </title>
    <plotArea>
      <barChart>
        <barDir val="col"/>
        <grouping val="stacked"/>
        <ser>
          <idx val="0"/>
          <order val="0"/>
          <tx>
            <strRef>
              <f>'P2 Site criticality'!B229</f>
            </strRef>
          </tx>
          <spPr>
            <a:solidFill xmlns:a="http://schemas.openxmlformats.org/drawingml/2006/main">
              <a:srgbClr val="1FA276"/>
            </a:solidFill>
            <a:ln xmlns:a="http://schemas.openxmlformats.org/drawingml/2006/main">
              <a:solidFill>
                <a:srgbClr val="FFFFFF"/>
              </a:solidFill>
              <a:prstDash val="solid"/>
            </a:ln>
          </spPr>
          <cat>
            <numRef>
              <f>'P2 Site criticality'!$A$230:$A$232</f>
            </numRef>
          </cat>
          <val>
            <numRef>
              <f>'P2 Site criticality'!$B$230:$B$232</f>
            </numRef>
          </val>
        </ser>
        <ser>
          <idx val="1"/>
          <order val="1"/>
          <tx>
            <strRef>
              <f>'P2 Site criticality'!C229</f>
            </strRef>
          </tx>
          <spPr>
            <a:solidFill xmlns:a="http://schemas.openxmlformats.org/drawingml/2006/main">
              <a:srgbClr val="F0A02C"/>
            </a:solidFill>
            <a:ln xmlns:a="http://schemas.openxmlformats.org/drawingml/2006/main">
              <a:solidFill>
                <a:srgbClr val="FFFFFF"/>
              </a:solidFill>
              <a:prstDash val="solid"/>
            </a:ln>
          </spPr>
          <cat>
            <numRef>
              <f>'P2 Site criticality'!$A$230:$A$232</f>
            </numRef>
          </cat>
          <val>
            <numRef>
              <f>'P2 Site criticality'!$C$230:$C$232</f>
            </numRef>
          </val>
        </ser>
        <ser>
          <idx val="2"/>
          <order val="2"/>
          <tx>
            <strRef>
              <f>'P2 Site criticality'!D229</f>
            </strRef>
          </tx>
          <spPr>
            <a:solidFill xmlns:a="http://schemas.openxmlformats.org/drawingml/2006/main">
              <a:srgbClr val="E24B47"/>
            </a:solidFill>
            <a:ln xmlns:a="http://schemas.openxmlformats.org/drawingml/2006/main">
              <a:solidFill>
                <a:srgbClr val="FFFFFF"/>
              </a:solidFill>
              <a:prstDash val="solid"/>
            </a:ln>
          </spPr>
          <cat>
            <numRef>
              <f>'P2 Site criticality'!$A$230:$A$232</f>
            </numRef>
          </cat>
          <val>
            <numRef>
              <f>'P2 Site criticality'!$D$230:$D$232</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MX-SCH · Schneider general services (Monterrey) (checklist)</a:t>
            </a:r>
          </a:p>
        </rich>
      </tx>
    </title>
    <plotArea>
      <barChart>
        <barDir val="col"/>
        <grouping val="stacked"/>
        <ser>
          <idx val="0"/>
          <order val="0"/>
          <tx>
            <strRef>
              <f>'P2 Site criticality'!B245</f>
            </strRef>
          </tx>
          <spPr>
            <a:solidFill xmlns:a="http://schemas.openxmlformats.org/drawingml/2006/main">
              <a:srgbClr val="1FA276"/>
            </a:solidFill>
            <a:ln xmlns:a="http://schemas.openxmlformats.org/drawingml/2006/main">
              <a:solidFill>
                <a:srgbClr val="FFFFFF"/>
              </a:solidFill>
              <a:prstDash val="solid"/>
            </a:ln>
          </spPr>
          <cat>
            <numRef>
              <f>'P2 Site criticality'!$A$246:$A$248</f>
            </numRef>
          </cat>
          <val>
            <numRef>
              <f>'P2 Site criticality'!$B$246:$B$248</f>
            </numRef>
          </val>
        </ser>
        <ser>
          <idx val="1"/>
          <order val="1"/>
          <tx>
            <strRef>
              <f>'P2 Site criticality'!C245</f>
            </strRef>
          </tx>
          <spPr>
            <a:solidFill xmlns:a="http://schemas.openxmlformats.org/drawingml/2006/main">
              <a:srgbClr val="F0A02C"/>
            </a:solidFill>
            <a:ln xmlns:a="http://schemas.openxmlformats.org/drawingml/2006/main">
              <a:solidFill>
                <a:srgbClr val="FFFFFF"/>
              </a:solidFill>
              <a:prstDash val="solid"/>
            </a:ln>
          </spPr>
          <cat>
            <numRef>
              <f>'P2 Site criticality'!$A$246:$A$248</f>
            </numRef>
          </cat>
          <val>
            <numRef>
              <f>'P2 Site criticality'!$C$246:$C$248</f>
            </numRef>
          </val>
        </ser>
        <ser>
          <idx val="2"/>
          <order val="2"/>
          <tx>
            <strRef>
              <f>'P2 Site criticality'!D245</f>
            </strRef>
          </tx>
          <spPr>
            <a:solidFill xmlns:a="http://schemas.openxmlformats.org/drawingml/2006/main">
              <a:srgbClr val="E24B47"/>
            </a:solidFill>
            <a:ln xmlns:a="http://schemas.openxmlformats.org/drawingml/2006/main">
              <a:solidFill>
                <a:srgbClr val="FFFFFF"/>
              </a:solidFill>
              <a:prstDash val="solid"/>
            </a:ln>
          </spPr>
          <cat>
            <numRef>
              <f>'P2 Site criticality'!$A$246:$A$248</f>
            </numRef>
          </cat>
          <val>
            <numRef>
              <f>'P2 Site criticality'!$D$246:$D$248</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MX-CHE · Chetumal general services (checklist)</a:t>
            </a:r>
          </a:p>
        </rich>
      </tx>
    </title>
    <plotArea>
      <barChart>
        <barDir val="col"/>
        <grouping val="stacked"/>
        <ser>
          <idx val="0"/>
          <order val="0"/>
          <tx>
            <strRef>
              <f>'P2 Site criticality'!B261</f>
            </strRef>
          </tx>
          <spPr>
            <a:solidFill xmlns:a="http://schemas.openxmlformats.org/drawingml/2006/main">
              <a:srgbClr val="1FA276"/>
            </a:solidFill>
            <a:ln xmlns:a="http://schemas.openxmlformats.org/drawingml/2006/main">
              <a:solidFill>
                <a:srgbClr val="FFFFFF"/>
              </a:solidFill>
              <a:prstDash val="solid"/>
            </a:ln>
          </spPr>
          <cat>
            <numRef>
              <f>'P2 Site criticality'!$A$262:$A$264</f>
            </numRef>
          </cat>
          <val>
            <numRef>
              <f>'P2 Site criticality'!$B$262:$B$264</f>
            </numRef>
          </val>
        </ser>
        <ser>
          <idx val="1"/>
          <order val="1"/>
          <tx>
            <strRef>
              <f>'P2 Site criticality'!C261</f>
            </strRef>
          </tx>
          <spPr>
            <a:solidFill xmlns:a="http://schemas.openxmlformats.org/drawingml/2006/main">
              <a:srgbClr val="F0A02C"/>
            </a:solidFill>
            <a:ln xmlns:a="http://schemas.openxmlformats.org/drawingml/2006/main">
              <a:solidFill>
                <a:srgbClr val="FFFFFF"/>
              </a:solidFill>
              <a:prstDash val="solid"/>
            </a:ln>
          </spPr>
          <cat>
            <numRef>
              <f>'P2 Site criticality'!$A$262:$A$264</f>
            </numRef>
          </cat>
          <val>
            <numRef>
              <f>'P2 Site criticality'!$C$262:$C$264</f>
            </numRef>
          </val>
        </ser>
        <ser>
          <idx val="2"/>
          <order val="2"/>
          <tx>
            <strRef>
              <f>'P2 Site criticality'!D261</f>
            </strRef>
          </tx>
          <spPr>
            <a:solidFill xmlns:a="http://schemas.openxmlformats.org/drawingml/2006/main">
              <a:srgbClr val="E24B47"/>
            </a:solidFill>
            <a:ln xmlns:a="http://schemas.openxmlformats.org/drawingml/2006/main">
              <a:solidFill>
                <a:srgbClr val="FFFFFF"/>
              </a:solidFill>
              <a:prstDash val="solid"/>
            </a:ln>
          </spPr>
          <cat>
            <numRef>
              <f>'P2 Site criticality'!$A$262:$A$264</f>
            </numRef>
          </cat>
          <val>
            <numRef>
              <f>'P2 Site criticality'!$D$262:$D$264</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CO-EPC · EPC Solar project (deck)</a:t>
            </a:r>
          </a:p>
        </rich>
      </tx>
    </title>
    <plotArea>
      <barChart>
        <barDir val="col"/>
        <grouping val="stacked"/>
        <ser>
          <idx val="0"/>
          <order val="0"/>
          <tx>
            <strRef>
              <f>'P2 Site criticality'!B277</f>
            </strRef>
          </tx>
          <spPr>
            <a:solidFill xmlns:a="http://schemas.openxmlformats.org/drawingml/2006/main">
              <a:srgbClr val="1FA276"/>
            </a:solidFill>
            <a:ln xmlns:a="http://schemas.openxmlformats.org/drawingml/2006/main">
              <a:solidFill>
                <a:srgbClr val="FFFFFF"/>
              </a:solidFill>
              <a:prstDash val="solid"/>
            </a:ln>
          </spPr>
          <cat>
            <numRef>
              <f>'P2 Site criticality'!$A$278:$A$280</f>
            </numRef>
          </cat>
          <val>
            <numRef>
              <f>'P2 Site criticality'!$B$278:$B$280</f>
            </numRef>
          </val>
        </ser>
        <ser>
          <idx val="1"/>
          <order val="1"/>
          <tx>
            <strRef>
              <f>'P2 Site criticality'!C277</f>
            </strRef>
          </tx>
          <spPr>
            <a:solidFill xmlns:a="http://schemas.openxmlformats.org/drawingml/2006/main">
              <a:srgbClr val="F0A02C"/>
            </a:solidFill>
            <a:ln xmlns:a="http://schemas.openxmlformats.org/drawingml/2006/main">
              <a:solidFill>
                <a:srgbClr val="FFFFFF"/>
              </a:solidFill>
              <a:prstDash val="solid"/>
            </a:ln>
          </spPr>
          <cat>
            <numRef>
              <f>'P2 Site criticality'!$A$278:$A$280</f>
            </numRef>
          </cat>
          <val>
            <numRef>
              <f>'P2 Site criticality'!$C$278:$C$280</f>
            </numRef>
          </val>
        </ser>
        <ser>
          <idx val="2"/>
          <order val="2"/>
          <tx>
            <strRef>
              <f>'P2 Site criticality'!D277</f>
            </strRef>
          </tx>
          <spPr>
            <a:solidFill xmlns:a="http://schemas.openxmlformats.org/drawingml/2006/main">
              <a:srgbClr val="E24B47"/>
            </a:solidFill>
            <a:ln xmlns:a="http://schemas.openxmlformats.org/drawingml/2006/main">
              <a:solidFill>
                <a:srgbClr val="FFFFFF"/>
              </a:solidFill>
              <a:prstDash val="solid"/>
            </a:ln>
          </spPr>
          <cat>
            <numRef>
              <f>'P2 Site criticality'!$A$278:$A$280</f>
            </numRef>
          </cat>
          <val>
            <numRef>
              <f>'P2 Site criticality'!$D$278:$D$280</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CO-HOM · Home-office (teleworking) (deck)</a:t>
            </a:r>
          </a:p>
        </rich>
      </tx>
    </title>
    <plotArea>
      <barChart>
        <barDir val="col"/>
        <grouping val="stacked"/>
        <ser>
          <idx val="0"/>
          <order val="0"/>
          <tx>
            <strRef>
              <f>'P2 Site criticality'!B293</f>
            </strRef>
          </tx>
          <spPr>
            <a:solidFill xmlns:a="http://schemas.openxmlformats.org/drawingml/2006/main">
              <a:srgbClr val="1FA276"/>
            </a:solidFill>
            <a:ln xmlns:a="http://schemas.openxmlformats.org/drawingml/2006/main">
              <a:solidFill>
                <a:srgbClr val="FFFFFF"/>
              </a:solidFill>
              <a:prstDash val="solid"/>
            </a:ln>
          </spPr>
          <cat>
            <numRef>
              <f>'P2 Site criticality'!$A$294:$A$296</f>
            </numRef>
          </cat>
          <val>
            <numRef>
              <f>'P2 Site criticality'!$B$294:$B$296</f>
            </numRef>
          </val>
        </ser>
        <ser>
          <idx val="1"/>
          <order val="1"/>
          <tx>
            <strRef>
              <f>'P2 Site criticality'!C293</f>
            </strRef>
          </tx>
          <spPr>
            <a:solidFill xmlns:a="http://schemas.openxmlformats.org/drawingml/2006/main">
              <a:srgbClr val="F0A02C"/>
            </a:solidFill>
            <a:ln xmlns:a="http://schemas.openxmlformats.org/drawingml/2006/main">
              <a:solidFill>
                <a:srgbClr val="FFFFFF"/>
              </a:solidFill>
              <a:prstDash val="solid"/>
            </a:ln>
          </spPr>
          <cat>
            <numRef>
              <f>'P2 Site criticality'!$A$294:$A$296</f>
            </numRef>
          </cat>
          <val>
            <numRef>
              <f>'P2 Site criticality'!$C$294:$C$296</f>
            </numRef>
          </val>
        </ser>
        <ser>
          <idx val="2"/>
          <order val="2"/>
          <tx>
            <strRef>
              <f>'P2 Site criticality'!D293</f>
            </strRef>
          </tx>
          <spPr>
            <a:solidFill xmlns:a="http://schemas.openxmlformats.org/drawingml/2006/main">
              <a:srgbClr val="E24B47"/>
            </a:solidFill>
            <a:ln xmlns:a="http://schemas.openxmlformats.org/drawingml/2006/main">
              <a:solidFill>
                <a:srgbClr val="FFFFFF"/>
              </a:solidFill>
              <a:prstDash val="solid"/>
            </a:ln>
          </spPr>
          <cat>
            <numRef>
              <f>'P2 Site criticality'!$A$294:$A$296</f>
            </numRef>
          </cat>
          <val>
            <numRef>
              <f>'P2 Site criticality'!$D$294:$D$296</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FR-OFF · Villeurbanne Office (deck)</a:t>
            </a:r>
          </a:p>
        </rich>
      </tx>
    </title>
    <plotArea>
      <barChart>
        <barDir val="col"/>
        <grouping val="stacked"/>
        <ser>
          <idx val="0"/>
          <order val="0"/>
          <tx>
            <strRef>
              <f>'P2 Site criticality'!B309</f>
            </strRef>
          </tx>
          <spPr>
            <a:solidFill xmlns:a="http://schemas.openxmlformats.org/drawingml/2006/main">
              <a:srgbClr val="1FA276"/>
            </a:solidFill>
            <a:ln xmlns:a="http://schemas.openxmlformats.org/drawingml/2006/main">
              <a:solidFill>
                <a:srgbClr val="FFFFFF"/>
              </a:solidFill>
              <a:prstDash val="solid"/>
            </a:ln>
          </spPr>
          <cat>
            <numRef>
              <f>'P2 Site criticality'!$A$310:$A$312</f>
            </numRef>
          </cat>
          <val>
            <numRef>
              <f>'P2 Site criticality'!$B$310:$B$312</f>
            </numRef>
          </val>
        </ser>
        <ser>
          <idx val="1"/>
          <order val="1"/>
          <tx>
            <strRef>
              <f>'P2 Site criticality'!C309</f>
            </strRef>
          </tx>
          <spPr>
            <a:solidFill xmlns:a="http://schemas.openxmlformats.org/drawingml/2006/main">
              <a:srgbClr val="F0A02C"/>
            </a:solidFill>
            <a:ln xmlns:a="http://schemas.openxmlformats.org/drawingml/2006/main">
              <a:solidFill>
                <a:srgbClr val="FFFFFF"/>
              </a:solidFill>
              <a:prstDash val="solid"/>
            </a:ln>
          </spPr>
          <cat>
            <numRef>
              <f>'P2 Site criticality'!$A$310:$A$312</f>
            </numRef>
          </cat>
          <val>
            <numRef>
              <f>'P2 Site criticality'!$C$310:$C$312</f>
            </numRef>
          </val>
        </ser>
        <ser>
          <idx val="2"/>
          <order val="2"/>
          <tx>
            <strRef>
              <f>'P2 Site criticality'!D309</f>
            </strRef>
          </tx>
          <spPr>
            <a:solidFill xmlns:a="http://schemas.openxmlformats.org/drawingml/2006/main">
              <a:srgbClr val="E24B47"/>
            </a:solidFill>
            <a:ln xmlns:a="http://schemas.openxmlformats.org/drawingml/2006/main">
              <a:solidFill>
                <a:srgbClr val="FFFFFF"/>
              </a:solidFill>
              <a:prstDash val="solid"/>
            </a:ln>
          </spPr>
          <cat>
            <numRef>
              <f>'P2 Site criticality'!$A$310:$A$312</f>
            </numRef>
          </cat>
          <val>
            <numRef>
              <f>'P2 Site criticality'!$D$310:$D$312</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FR-EPC · EPC – subcontractor &amp; logistics (deck)</a:t>
            </a:r>
          </a:p>
        </rich>
      </tx>
    </title>
    <plotArea>
      <barChart>
        <barDir val="col"/>
        <grouping val="stacked"/>
        <ser>
          <idx val="0"/>
          <order val="0"/>
          <tx>
            <strRef>
              <f>'P2 Site criticality'!B325</f>
            </strRef>
          </tx>
          <spPr>
            <a:solidFill xmlns:a="http://schemas.openxmlformats.org/drawingml/2006/main">
              <a:srgbClr val="1FA276"/>
            </a:solidFill>
            <a:ln xmlns:a="http://schemas.openxmlformats.org/drawingml/2006/main">
              <a:solidFill>
                <a:srgbClr val="FFFFFF"/>
              </a:solidFill>
              <a:prstDash val="solid"/>
            </a:ln>
          </spPr>
          <cat>
            <numRef>
              <f>'P2 Site criticality'!$A$326:$A$328</f>
            </numRef>
          </cat>
          <val>
            <numRef>
              <f>'P2 Site criticality'!$B$326:$B$328</f>
            </numRef>
          </val>
        </ser>
        <ser>
          <idx val="1"/>
          <order val="1"/>
          <tx>
            <strRef>
              <f>'P2 Site criticality'!C325</f>
            </strRef>
          </tx>
          <spPr>
            <a:solidFill xmlns:a="http://schemas.openxmlformats.org/drawingml/2006/main">
              <a:srgbClr val="F0A02C"/>
            </a:solidFill>
            <a:ln xmlns:a="http://schemas.openxmlformats.org/drawingml/2006/main">
              <a:solidFill>
                <a:srgbClr val="FFFFFF"/>
              </a:solidFill>
              <a:prstDash val="solid"/>
            </a:ln>
          </spPr>
          <cat>
            <numRef>
              <f>'P2 Site criticality'!$A$326:$A$328</f>
            </numRef>
          </cat>
          <val>
            <numRef>
              <f>'P2 Site criticality'!$C$326:$C$328</f>
            </numRef>
          </val>
        </ser>
        <ser>
          <idx val="2"/>
          <order val="2"/>
          <tx>
            <strRef>
              <f>'P2 Site criticality'!D325</f>
            </strRef>
          </tx>
          <spPr>
            <a:solidFill xmlns:a="http://schemas.openxmlformats.org/drawingml/2006/main">
              <a:srgbClr val="E24B47"/>
            </a:solidFill>
            <a:ln xmlns:a="http://schemas.openxmlformats.org/drawingml/2006/main">
              <a:solidFill>
                <a:srgbClr val="FFFFFF"/>
              </a:solidFill>
              <a:prstDash val="solid"/>
            </a:ln>
          </spPr>
          <cat>
            <numRef>
              <f>'P2 Site criticality'!$A$326:$A$328</f>
            </numRef>
          </cat>
          <val>
            <numRef>
              <f>'P2 Site criticality'!$D$326:$D$328</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GR-ATH · Athens Office (deck)</a:t>
            </a:r>
          </a:p>
        </rich>
      </tx>
    </title>
    <plotArea>
      <barChart>
        <barDir val="col"/>
        <grouping val="stacked"/>
        <ser>
          <idx val="0"/>
          <order val="0"/>
          <tx>
            <strRef>
              <f>'P2 Site criticality'!B341</f>
            </strRef>
          </tx>
          <spPr>
            <a:solidFill xmlns:a="http://schemas.openxmlformats.org/drawingml/2006/main">
              <a:srgbClr val="1FA276"/>
            </a:solidFill>
            <a:ln xmlns:a="http://schemas.openxmlformats.org/drawingml/2006/main">
              <a:solidFill>
                <a:srgbClr val="FFFFFF"/>
              </a:solidFill>
              <a:prstDash val="solid"/>
            </a:ln>
          </spPr>
          <cat>
            <numRef>
              <f>'P2 Site criticality'!$A$342:$A$344</f>
            </numRef>
          </cat>
          <val>
            <numRef>
              <f>'P2 Site criticality'!$B$342:$B$344</f>
            </numRef>
          </val>
        </ser>
        <ser>
          <idx val="1"/>
          <order val="1"/>
          <tx>
            <strRef>
              <f>'P2 Site criticality'!C341</f>
            </strRef>
          </tx>
          <spPr>
            <a:solidFill xmlns:a="http://schemas.openxmlformats.org/drawingml/2006/main">
              <a:srgbClr val="F0A02C"/>
            </a:solidFill>
            <a:ln xmlns:a="http://schemas.openxmlformats.org/drawingml/2006/main">
              <a:solidFill>
                <a:srgbClr val="FFFFFF"/>
              </a:solidFill>
              <a:prstDash val="solid"/>
            </a:ln>
          </spPr>
          <cat>
            <numRef>
              <f>'P2 Site criticality'!$A$342:$A$344</f>
            </numRef>
          </cat>
          <val>
            <numRef>
              <f>'P2 Site criticality'!$C$342:$C$344</f>
            </numRef>
          </val>
        </ser>
        <ser>
          <idx val="2"/>
          <order val="2"/>
          <tx>
            <strRef>
              <f>'P2 Site criticality'!D341</f>
            </strRef>
          </tx>
          <spPr>
            <a:solidFill xmlns:a="http://schemas.openxmlformats.org/drawingml/2006/main">
              <a:srgbClr val="E24B47"/>
            </a:solidFill>
            <a:ln xmlns:a="http://schemas.openxmlformats.org/drawingml/2006/main">
              <a:solidFill>
                <a:srgbClr val="FFFFFF"/>
              </a:solidFill>
              <a:prstDash val="solid"/>
            </a:ln>
          </spPr>
          <cat>
            <numRef>
              <f>'P2 Site criticality'!$A$342:$A$344</f>
            </numRef>
          </cat>
          <val>
            <numRef>
              <f>'P2 Site criticality'!$D$342:$D$344</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IT-BUC · Buccinasco Office (HQ) (deck)</a:t>
            </a:r>
          </a:p>
        </rich>
      </tx>
    </title>
    <plotArea>
      <barChart>
        <barDir val="col"/>
        <grouping val="stacked"/>
        <ser>
          <idx val="0"/>
          <order val="0"/>
          <tx>
            <strRef>
              <f>'P2 Site criticality'!B357</f>
            </strRef>
          </tx>
          <spPr>
            <a:solidFill xmlns:a="http://schemas.openxmlformats.org/drawingml/2006/main">
              <a:srgbClr val="1FA276"/>
            </a:solidFill>
            <a:ln xmlns:a="http://schemas.openxmlformats.org/drawingml/2006/main">
              <a:solidFill>
                <a:srgbClr val="FFFFFF"/>
              </a:solidFill>
              <a:prstDash val="solid"/>
            </a:ln>
          </spPr>
          <cat>
            <numRef>
              <f>'P2 Site criticality'!$A$358:$A$360</f>
            </numRef>
          </cat>
          <val>
            <numRef>
              <f>'P2 Site criticality'!$B$358:$B$360</f>
            </numRef>
          </val>
        </ser>
        <ser>
          <idx val="1"/>
          <order val="1"/>
          <tx>
            <strRef>
              <f>'P2 Site criticality'!C357</f>
            </strRef>
          </tx>
          <spPr>
            <a:solidFill xmlns:a="http://schemas.openxmlformats.org/drawingml/2006/main">
              <a:srgbClr val="F0A02C"/>
            </a:solidFill>
            <a:ln xmlns:a="http://schemas.openxmlformats.org/drawingml/2006/main">
              <a:solidFill>
                <a:srgbClr val="FFFFFF"/>
              </a:solidFill>
              <a:prstDash val="solid"/>
            </a:ln>
          </spPr>
          <cat>
            <numRef>
              <f>'P2 Site criticality'!$A$358:$A$360</f>
            </numRef>
          </cat>
          <val>
            <numRef>
              <f>'P2 Site criticality'!$C$358:$C$360</f>
            </numRef>
          </val>
        </ser>
        <ser>
          <idx val="2"/>
          <order val="2"/>
          <tx>
            <strRef>
              <f>'P2 Site criticality'!D357</f>
            </strRef>
          </tx>
          <spPr>
            <a:solidFill xmlns:a="http://schemas.openxmlformats.org/drawingml/2006/main">
              <a:srgbClr val="E24B47"/>
            </a:solidFill>
            <a:ln xmlns:a="http://schemas.openxmlformats.org/drawingml/2006/main">
              <a:solidFill>
                <a:srgbClr val="FFFFFF"/>
              </a:solidFill>
              <a:prstDash val="solid"/>
            </a:ln>
          </spPr>
          <cat>
            <numRef>
              <f>'P2 Site criticality'!$A$358:$A$360</f>
            </numRef>
          </cat>
          <val>
            <numRef>
              <f>'P2 Site criticality'!$D$358:$D$360</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Checklist status per site</a:t>
            </a:r>
          </a:p>
        </rich>
      </tx>
    </title>
    <plotArea>
      <barChart>
        <barDir val="bar"/>
        <grouping val="stacked"/>
        <ser>
          <idx val="0"/>
          <order val="0"/>
          <tx>
            <strRef>
              <f>'P2 Site status (checklist)'!C4</f>
            </strRef>
          </tx>
          <spPr>
            <a:solidFill xmlns:a="http://schemas.openxmlformats.org/drawingml/2006/main">
              <a:srgbClr val="1FA276"/>
            </a:solidFill>
            <a:ln xmlns:a="http://schemas.openxmlformats.org/drawingml/2006/main">
              <a:solidFill>
                <a:srgbClr val="FFFFFF"/>
              </a:solidFill>
              <a:prstDash val="solid"/>
            </a:ln>
          </spPr>
          <cat>
            <numRef>
              <f>'P2 Site status (checklist)'!$B$5:$B$27</f>
            </numRef>
          </cat>
          <val>
            <numRef>
              <f>'P2 Site status (checklist)'!$C$5:$C$27</f>
            </numRef>
          </val>
        </ser>
        <ser>
          <idx val="1"/>
          <order val="1"/>
          <tx>
            <strRef>
              <f>'P2 Site status (checklist)'!D4</f>
            </strRef>
          </tx>
          <spPr>
            <a:solidFill xmlns:a="http://schemas.openxmlformats.org/drawingml/2006/main">
              <a:srgbClr val="F0A02C"/>
            </a:solidFill>
            <a:ln xmlns:a="http://schemas.openxmlformats.org/drawingml/2006/main">
              <a:solidFill>
                <a:srgbClr val="FFFFFF"/>
              </a:solidFill>
              <a:prstDash val="solid"/>
            </a:ln>
          </spPr>
          <cat>
            <numRef>
              <f>'P2 Site status (checklist)'!$B$5:$B$27</f>
            </numRef>
          </cat>
          <val>
            <numRef>
              <f>'P2 Site status (checklist)'!$D$5:$D$27</f>
            </numRef>
          </val>
        </ser>
        <ser>
          <idx val="2"/>
          <order val="2"/>
          <tx>
            <strRef>
              <f>'P2 Site status (checklist)'!E4</f>
            </strRef>
          </tx>
          <spPr>
            <a:solidFill xmlns:a="http://schemas.openxmlformats.org/drawingml/2006/main">
              <a:srgbClr val="E24B47"/>
            </a:solidFill>
            <a:ln xmlns:a="http://schemas.openxmlformats.org/drawingml/2006/main">
              <a:solidFill>
                <a:srgbClr val="FFFFFF"/>
              </a:solidFill>
              <a:prstDash val="solid"/>
            </a:ln>
          </spPr>
          <cat>
            <numRef>
              <f>'P2 Site status (checklist)'!$B$5:$B$27</f>
            </numRef>
          </cat>
          <val>
            <numRef>
              <f>'P2 Site status (checklist)'!$E$5:$E$27</f>
            </numRef>
          </val>
        </ser>
        <ser>
          <idx val="3"/>
          <order val="3"/>
          <tx>
            <strRef>
              <f>'P2 Site status (checklist)'!F4</f>
            </strRef>
          </tx>
          <spPr>
            <a:solidFill xmlns:a="http://schemas.openxmlformats.org/drawingml/2006/main">
              <a:srgbClr val="B8BCC6"/>
            </a:solidFill>
            <a:ln xmlns:a="http://schemas.openxmlformats.org/drawingml/2006/main">
              <a:solidFill>
                <a:srgbClr val="FFFFFF"/>
              </a:solidFill>
              <a:prstDash val="solid"/>
            </a:ln>
          </spPr>
          <cat>
            <numRef>
              <f>'P2 Site status (checklist)'!$B$5:$B$27</f>
            </numRef>
          </cat>
          <val>
            <numRef>
              <f>'P2 Site status (checklist)'!$F$5:$F$27</f>
            </numRef>
          </val>
        </ser>
        <ser>
          <idx val="4"/>
          <order val="4"/>
          <tx>
            <strRef>
              <f>'P2 Site status (checklist)'!G4</f>
            </strRef>
          </tx>
          <spPr>
            <a:solidFill xmlns:a="http://schemas.openxmlformats.org/drawingml/2006/main">
              <a:srgbClr val="D9DCE2"/>
            </a:solidFill>
            <a:ln xmlns:a="http://schemas.openxmlformats.org/drawingml/2006/main">
              <a:solidFill>
                <a:srgbClr val="FFFFFF"/>
              </a:solidFill>
              <a:prstDash val="solid"/>
            </a:ln>
          </spPr>
          <cat>
            <numRef>
              <f>'P2 Site status (checklist)'!$B$5:$B$27</f>
            </numRef>
          </cat>
          <val>
            <numRef>
              <f>'P2 Site status (checklist)'!$G$5:$G$27</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ES-VIT · Vitoria Factory</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(checklist)'!$D$5:$D$18</f>
            </numRef>
          </cat>
          <val>
            <numRef>
              <f>'P2 Key activity (checklist)'!$E$5:$E$18</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(checklist)'!$D$5:$D$18</f>
            </numRef>
          </cat>
          <val>
            <numRef>
              <f>'P2 Key activity (checklist)'!$F$5:$F$18</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(checklist)'!$D$5:$D$18</f>
            </numRef>
          </cat>
          <val>
            <numRef>
              <f>'P2 Key activity (checklist)'!$G$5:$G$18</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ES-MEC · Meco Warehouse</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(checklist)'!$D$19:$D$31</f>
            </numRef>
          </cat>
          <val>
            <numRef>
              <f>'P2 Key activity (checklist)'!$E$19:$E$31</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(checklist)'!$D$19:$D$31</f>
            </numRef>
          </cat>
          <val>
            <numRef>
              <f>'P2 Key activity (checklist)'!$F$19:$F$31</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(checklist)'!$D$19:$D$31</f>
            </numRef>
          </cat>
          <val>
            <numRef>
              <f>'P2 Key activity (checklist)'!$G$19:$G$31</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ES-SEV · Sevilla Warehouse</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(checklist)'!$D$32:$D$43</f>
            </numRef>
          </cat>
          <val>
            <numRef>
              <f>'P2 Key activity (checklist)'!$E$32:$E$43</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(checklist)'!$D$32:$D$43</f>
            </numRef>
          </cat>
          <val>
            <numRef>
              <f>'P2 Key activity (checklist)'!$F$32:$F$43</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(checklist)'!$D$32:$D$43</f>
            </numRef>
          </cat>
          <val>
            <numRef>
              <f>'P2 Key activity (checklist)'!$G$32:$G$43</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ES-VAL · Valencia Warehouse</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(checklist)'!$D$44:$D$55</f>
            </numRef>
          </cat>
          <val>
            <numRef>
              <f>'P2 Key activity (checklist)'!$E$44:$E$55</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(checklist)'!$D$44:$D$55</f>
            </numRef>
          </cat>
          <val>
            <numRef>
              <f>'P2 Key activity (checklist)'!$F$44:$F$55</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(checklist)'!$D$44:$D$55</f>
            </numRef>
          </cat>
          <val>
            <numRef>
              <f>'P2 Key activity (checklist)'!$G$44:$G$55</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ES-BUR · Burgos Warehouse</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(checklist)'!$D$56:$D$66</f>
            </numRef>
          </cat>
          <val>
            <numRef>
              <f>'P2 Key activity (checklist)'!$E$56:$E$66</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(checklist)'!$D$56:$D$66</f>
            </numRef>
          </cat>
          <val>
            <numRef>
              <f>'P2 Key activity (checklist)'!$F$56:$F$66</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(checklist)'!$D$56:$D$66</f>
            </numRef>
          </cat>
          <val>
            <numRef>
              <f>'P2 Key activity (checklist)'!$G$56:$G$66</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ES-AND · Andoain Warehouse</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(checklist)'!$D$67:$D$77</f>
            </numRef>
          </cat>
          <val>
            <numRef>
              <f>'P2 Key activity (checklist)'!$E$67:$E$77</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(checklist)'!$D$67:$D$77</f>
            </numRef>
          </cat>
          <val>
            <numRef>
              <f>'P2 Key activity (checklist)'!$F$67:$F$77</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(checklist)'!$D$67:$D$77</f>
            </numRef>
          </cat>
          <val>
            <numRef>
              <f>'P2 Key activity (checklist)'!$G$67:$G$77</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ES-MAD · Madrid Office</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(checklist)'!$D$78:$D$83</f>
            </numRef>
          </cat>
          <val>
            <numRef>
              <f>'P2 Key activity (checklist)'!$E$78:$E$83</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(checklist)'!$D$78:$D$83</f>
            </numRef>
          </cat>
          <val>
            <numRef>
              <f>'P2 Key activity (checklist)'!$F$78:$F$83</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(checklist)'!$D$78:$D$83</f>
            </numRef>
          </cat>
          <val>
            <numRef>
              <f>'P2 Key activity (checklist)'!$G$78:$G$83</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ES-ACO · A Coruña – Repsol in-house warehouse</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(checklist)'!$D$84:$D$87</f>
            </numRef>
          </cat>
          <val>
            <numRef>
              <f>'P2 Key activity (checklist)'!$E$84:$E$87</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(checklist)'!$D$84:$D$87</f>
            </numRef>
          </cat>
          <val>
            <numRef>
              <f>'P2 Key activity (checklist)'!$F$84:$F$87</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(checklist)'!$D$84:$D$87</f>
            </numRef>
          </cat>
          <val>
            <numRef>
              <f>'P2 Key activity (checklist)'!$G$84:$G$87</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PT-AVE · Aveiro Office</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(checklist)'!$D$88:$D$95</f>
            </numRef>
          </cat>
          <val>
            <numRef>
              <f>'P2 Key activity (checklist)'!$E$88:$E$95</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(checklist)'!$D$88:$D$95</f>
            </numRef>
          </cat>
          <val>
            <numRef>
              <f>'P2 Key activity (checklist)'!$F$88:$F$95</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(checklist)'!$D$88:$D$95</f>
            </numRef>
          </cat>
          <val>
            <numRef>
              <f>'P2 Key activity (checklist)'!$G$88:$G$95</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MX-MTY · Monterrey Warehouse (owned)</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(checklist)'!$D$96:$D$116</f>
            </numRef>
          </cat>
          <val>
            <numRef>
              <f>'P2 Key activity (checklist)'!$E$96:$E$116</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(checklist)'!$D$96:$D$116</f>
            </numRef>
          </cat>
          <val>
            <numRef>
              <f>'P2 Key activity (checklist)'!$F$96:$F$116</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(checklist)'!$D$96:$D$116</f>
            </numRef>
          </cat>
          <val>
            <numRef>
              <f>'P2 Key activity (checklist)'!$G$96:$G$116</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MX-CDMX · CDMX Office</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(checklist)'!$D$117:$D$129</f>
            </numRef>
          </cat>
          <val>
            <numRef>
              <f>'P2 Key activity (checklist)'!$E$117:$E$129</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(checklist)'!$D$117:$D$129</f>
            </numRef>
          </cat>
          <val>
            <numRef>
              <f>'P2 Key activity (checklist)'!$F$117:$F$129</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(checklist)'!$D$117:$D$129</f>
            </numRef>
          </cat>
          <val>
            <numRef>
              <f>'P2 Key activity (checklist)'!$G$117:$G$129</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MX-INO · EPC INOAC</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(checklist)'!$D$130:$D$138</f>
            </numRef>
          </cat>
          <val>
            <numRef>
              <f>'P2 Key activity (checklist)'!$E$130:$E$138</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(checklist)'!$D$130:$D$138</f>
            </numRef>
          </cat>
          <val>
            <numRef>
              <f>'P2 Key activity (checklist)'!$F$130:$F$138</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(checklist)'!$D$130:$D$138</f>
            </numRef>
          </cat>
          <val>
            <numRef>
              <f>'P2 Key activity (checklist)'!$G$130:$G$138</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MX-IBE · Iberdrola in-house warehouse</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(checklist)'!$D$139:$D$149</f>
            </numRef>
          </cat>
          <val>
            <numRef>
              <f>'P2 Key activity (checklist)'!$E$139:$E$149</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(checklist)'!$D$139:$D$149</f>
            </numRef>
          </cat>
          <val>
            <numRef>
              <f>'P2 Key activity (checklist)'!$F$139:$F$149</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(checklist)'!$D$139:$D$149</f>
            </numRef>
          </cat>
          <val>
            <numRef>
              <f>'P2 Key activity (checklist)'!$G$139:$G$149</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MX-BRA · Braskem in-house warehouse</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(checklist)'!$D$150:$D$160</f>
            </numRef>
          </cat>
          <val>
            <numRef>
              <f>'P2 Key activity (checklist)'!$E$150:$E$160</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(checklist)'!$D$150:$D$160</f>
            </numRef>
          </cat>
          <val>
            <numRef>
              <f>'P2 Key activity (checklist)'!$F$150:$F$160</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(checklist)'!$D$150:$D$160</f>
            </numRef>
          </cat>
          <val>
            <numRef>
              <f>'P2 Key activity (checklist)'!$G$150:$G$160</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MX-ALT · Altamira – Quantum warehouse &amp; services</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(checklist)'!$D$161:$D$171</f>
            </numRef>
          </cat>
          <val>
            <numRef>
              <f>'P2 Key activity (checklist)'!$E$161:$E$171</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(checklist)'!$D$161:$D$171</f>
            </numRef>
          </cat>
          <val>
            <numRef>
              <f>'P2 Key activity (checklist)'!$F$161:$F$171</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(checklist)'!$D$161:$D$171</f>
            </numRef>
          </cat>
          <val>
            <numRef>
              <f>'P2 Key activity (checklist)'!$G$161:$G$171</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MX-SCH · Schneider general services (Monterrey)</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(checklist)'!$D$172:$D$175</f>
            </numRef>
          </cat>
          <val>
            <numRef>
              <f>'P2 Key activity (checklist)'!$E$172:$E$175</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(checklist)'!$D$172:$D$175</f>
            </numRef>
          </cat>
          <val>
            <numRef>
              <f>'P2 Key activity (checklist)'!$F$172:$F$175</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(checklist)'!$D$172:$D$175</f>
            </numRef>
          </cat>
          <val>
            <numRef>
              <f>'P2 Key activity (checklist)'!$G$172:$G$175</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MX-CHE · Chetumal general services</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(checklist)'!$D$176:$D$179</f>
            </numRef>
          </cat>
          <val>
            <numRef>
              <f>'P2 Key activity (checklist)'!$E$176:$E$179</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(checklist)'!$D$176:$D$179</f>
            </numRef>
          </cat>
          <val>
            <numRef>
              <f>'P2 Key activity (checklist)'!$F$176:$F$179</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(checklist)'!$D$176:$D$179</f>
            </numRef>
          </cat>
          <val>
            <numRef>
              <f>'P2 Key activity (checklist)'!$G$176:$G$179</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CO-EPC · EPC Solar project</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(checklist)'!$D$180:$D$190</f>
            </numRef>
          </cat>
          <val>
            <numRef>
              <f>'P2 Key activity (checklist)'!$E$180:$E$190</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(checklist)'!$D$180:$D$190</f>
            </numRef>
          </cat>
          <val>
            <numRef>
              <f>'P2 Key activity (checklist)'!$F$180:$F$190</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(checklist)'!$D$180:$D$190</f>
            </numRef>
          </cat>
          <val>
            <numRef>
              <f>'P2 Key activity (checklist)'!$G$180:$G$190</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CO-HOM · Home-office (teleworking)</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(checklist)'!$D$191:$D$196</f>
            </numRef>
          </cat>
          <val>
            <numRef>
              <f>'P2 Key activity (checklist)'!$E$191:$E$196</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(checklist)'!$D$191:$D$196</f>
            </numRef>
          </cat>
          <val>
            <numRef>
              <f>'P2 Key activity (checklist)'!$F$191:$F$196</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(checklist)'!$D$191:$D$196</f>
            </numRef>
          </cat>
          <val>
            <numRef>
              <f>'P2 Key activity (checklist)'!$G$191:$G$196</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FR-OFF · Villeurbanne Office</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(checklist)'!$D$197:$D$200</f>
            </numRef>
          </cat>
          <val>
            <numRef>
              <f>'P2 Key activity (checklist)'!$E$197:$E$200</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(checklist)'!$D$197:$D$200</f>
            </numRef>
          </cat>
          <val>
            <numRef>
              <f>'P2 Key activity (checklist)'!$F$197:$F$200</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(checklist)'!$D$197:$D$200</f>
            </numRef>
          </cat>
          <val>
            <numRef>
              <f>'P2 Key activity (checklist)'!$G$197:$G$200</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FR-EPC · EPC – subcontractor &amp; logistics</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(checklist)'!$D$201:$D$214</f>
            </numRef>
          </cat>
          <val>
            <numRef>
              <f>'P2 Key activity (checklist)'!$E$201:$E$214</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(checklist)'!$D$201:$D$214</f>
            </numRef>
          </cat>
          <val>
            <numRef>
              <f>'P2 Key activity (checklist)'!$F$201:$F$214</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(checklist)'!$D$201:$D$214</f>
            </numRef>
          </cat>
          <val>
            <numRef>
              <f>'P2 Key activity (checklist)'!$G$201:$G$214</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GR-ATH · Athens Office</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(checklist)'!$D$215:$D$222</f>
            </numRef>
          </cat>
          <val>
            <numRef>
              <f>'P2 Key activity (checklist)'!$E$215:$E$222</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(checklist)'!$D$215:$D$222</f>
            </numRef>
          </cat>
          <val>
            <numRef>
              <f>'P2 Key activity (checklist)'!$F$215:$F$222</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(checklist)'!$D$215:$D$222</f>
            </numRef>
          </cat>
          <val>
            <numRef>
              <f>'P2 Key activity (checklist)'!$G$215:$G$222</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IT-BUC · Buccinasco Office (HQ)</a:t>
            </a:r>
          </a:p>
        </rich>
      </tx>
    </title>
    <plotArea>
      <barChart>
        <barDir val="bar"/>
        <grouping val="stacked"/>
        <ser>
          <idx val="0"/>
          <order val="0"/>
          <tx>
            <v>Compliant</v>
          </tx>
          <spPr>
            <a:solidFill xmlns:a="http://schemas.openxmlformats.org/drawingml/2006/main">
              <a:srgbClr val="1FA276"/>
            </a:solidFill>
            <a:ln xmlns:a="http://schemas.openxmlformats.org/drawingml/2006/main">
              <a:solidFill>
                <a:srgbClr val="FFFFFF"/>
              </a:solidFill>
              <a:prstDash val="solid"/>
            </a:ln>
          </spPr>
          <cat>
            <numRef>
              <f>'P2 Key activity (checklist)'!$D$223:$D$233</f>
            </numRef>
          </cat>
          <val>
            <numRef>
              <f>'P2 Key activity (checklist)'!$E$223:$E$233</f>
            </numRef>
          </val>
        </ser>
        <ser>
          <idx val="1"/>
          <order val="1"/>
          <tx>
            <v>Partially compliant</v>
          </tx>
          <spPr>
            <a:solidFill xmlns:a="http://schemas.openxmlformats.org/drawingml/2006/main">
              <a:srgbClr val="F0A02C"/>
            </a:solidFill>
            <a:ln xmlns:a="http://schemas.openxmlformats.org/drawingml/2006/main">
              <a:solidFill>
                <a:srgbClr val="FFFFFF"/>
              </a:solidFill>
              <a:prstDash val="solid"/>
            </a:ln>
          </spPr>
          <cat>
            <numRef>
              <f>'P2 Key activity (checklist)'!$D$223:$D$233</f>
            </numRef>
          </cat>
          <val>
            <numRef>
              <f>'P2 Key activity (checklist)'!$F$223:$F$233</f>
            </numRef>
          </val>
        </ser>
        <ser>
          <idx val="2"/>
          <order val="2"/>
          <tx>
            <v>Non-compliant</v>
          </tx>
          <spPr>
            <a:solidFill xmlns:a="http://schemas.openxmlformats.org/drawingml/2006/main">
              <a:srgbClr val="E24B47"/>
            </a:solidFill>
            <a:ln xmlns:a="http://schemas.openxmlformats.org/drawingml/2006/main">
              <a:solidFill>
                <a:srgbClr val="FFFFFF"/>
              </a:solidFill>
              <a:prstDash val="solid"/>
            </a:ln>
          </spPr>
          <cat>
            <numRef>
              <f>'P2 Key activity (checklist)'!$D$223:$D$233</f>
            </numRef>
          </cat>
          <val>
            <numRef>
              <f>'P2 Key activity (checklist)'!$G$223:$G$233</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Report compliance dots per site</a:t>
            </a:r>
          </a:p>
        </rich>
      </tx>
    </title>
    <plotArea>
      <barChart>
        <barDir val="bar"/>
        <grouping val="stacked"/>
        <ser>
          <idx val="0"/>
          <order val="0"/>
          <tx>
            <strRef>
              <f>'P2 Report dots'!C4</f>
            </strRef>
          </tx>
          <spPr>
            <a:solidFill xmlns:a="http://schemas.openxmlformats.org/drawingml/2006/main">
              <a:srgbClr val="1FA276"/>
            </a:solidFill>
            <a:ln xmlns:a="http://schemas.openxmlformats.org/drawingml/2006/main">
              <a:solidFill>
                <a:srgbClr val="FFFFFF"/>
              </a:solidFill>
              <a:prstDash val="solid"/>
            </a:ln>
          </spPr>
          <cat>
            <numRef>
              <f>'P2 Report dots'!$B$5:$B$27</f>
            </numRef>
          </cat>
          <val>
            <numRef>
              <f>'P2 Report dots'!$C$5:$C$27</f>
            </numRef>
          </val>
        </ser>
        <ser>
          <idx val="1"/>
          <order val="1"/>
          <tx>
            <strRef>
              <f>'P2 Report dots'!D4</f>
            </strRef>
          </tx>
          <spPr>
            <a:solidFill xmlns:a="http://schemas.openxmlformats.org/drawingml/2006/main">
              <a:srgbClr val="F0A02C"/>
            </a:solidFill>
            <a:ln xmlns:a="http://schemas.openxmlformats.org/drawingml/2006/main">
              <a:solidFill>
                <a:srgbClr val="FFFFFF"/>
              </a:solidFill>
              <a:prstDash val="solid"/>
            </a:ln>
          </spPr>
          <cat>
            <numRef>
              <f>'P2 Report dots'!$B$5:$B$27</f>
            </numRef>
          </cat>
          <val>
            <numRef>
              <f>'P2 Report dots'!$D$5:$D$27</f>
            </numRef>
          </val>
        </ser>
        <ser>
          <idx val="2"/>
          <order val="2"/>
          <tx>
            <strRef>
              <f>'P2 Report dots'!E4</f>
            </strRef>
          </tx>
          <spPr>
            <a:solidFill xmlns:a="http://schemas.openxmlformats.org/drawingml/2006/main">
              <a:srgbClr val="E24B47"/>
            </a:solidFill>
            <a:ln xmlns:a="http://schemas.openxmlformats.org/drawingml/2006/main">
              <a:solidFill>
                <a:srgbClr val="FFFFFF"/>
              </a:solidFill>
              <a:prstDash val="solid"/>
            </a:ln>
          </spPr>
          <cat>
            <numRef>
              <f>'P2 Report dots'!$B$5:$B$27</f>
            </numRef>
          </cat>
          <val>
            <numRef>
              <f>'P2 Report dots'!$E$5:$E$27</f>
            </numRef>
          </val>
        </ser>
        <ser>
          <idx val="3"/>
          <order val="3"/>
          <tx>
            <strRef>
              <f>'P2 Report dots'!F4</f>
            </strRef>
          </tx>
          <spPr>
            <a:solidFill xmlns:a="http://schemas.openxmlformats.org/drawingml/2006/main">
              <a:srgbClr val="D9DCE2"/>
            </a:solidFill>
            <a:ln xmlns:a="http://schemas.openxmlformats.org/drawingml/2006/main">
              <a:solidFill>
                <a:srgbClr val="FFFFFF"/>
              </a:solidFill>
              <a:prstDash val="solid"/>
            </a:ln>
          </spPr>
          <cat>
            <numRef>
              <f>'P2 Report dots'!$B$5:$B$27</f>
            </numRef>
          </cat>
          <val>
            <numRef>
              <f>'P2 Report dots'!$F$5:$F$27</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Spain &amp; Portugal · Office</a:t>
            </a:r>
          </a:p>
        </rich>
      </tx>
    </title>
    <plotArea>
      <barChart>
        <barDir val="col"/>
        <grouping val="stacked"/>
        <ser>
          <idx val="0"/>
          <order val="0"/>
          <tx>
            <strRef>
              <f>'P3 Cluster business'!B5</f>
            </strRef>
          </tx>
          <spPr>
            <a:solidFill xmlns:a="http://schemas.openxmlformats.org/drawingml/2006/main">
              <a:srgbClr val="1FA276"/>
            </a:solidFill>
            <a:ln xmlns:a="http://schemas.openxmlformats.org/drawingml/2006/main">
              <a:solidFill>
                <a:srgbClr val="FFFFFF"/>
              </a:solidFill>
              <a:prstDash val="solid"/>
            </a:ln>
          </spPr>
          <cat>
            <numRef>
              <f>'P3 Cluster business'!$A$6:$A$8</f>
            </numRef>
          </cat>
          <val>
            <numRef>
              <f>'P3 Cluster business'!$B$6:$B$8</f>
            </numRef>
          </val>
        </ser>
        <ser>
          <idx val="1"/>
          <order val="1"/>
          <tx>
            <strRef>
              <f>'P3 Cluster business'!C5</f>
            </strRef>
          </tx>
          <spPr>
            <a:solidFill xmlns:a="http://schemas.openxmlformats.org/drawingml/2006/main">
              <a:srgbClr val="F0A02C"/>
            </a:solidFill>
            <a:ln xmlns:a="http://schemas.openxmlformats.org/drawingml/2006/main">
              <a:solidFill>
                <a:srgbClr val="FFFFFF"/>
              </a:solidFill>
              <a:prstDash val="solid"/>
            </a:ln>
          </spPr>
          <cat>
            <numRef>
              <f>'P3 Cluster business'!$A$6:$A$8</f>
            </numRef>
          </cat>
          <val>
            <numRef>
              <f>'P3 Cluster business'!$C$6:$C$8</f>
            </numRef>
          </val>
        </ser>
        <ser>
          <idx val="2"/>
          <order val="2"/>
          <tx>
            <strRef>
              <f>'P3 Cluster business'!D5</f>
            </strRef>
          </tx>
          <spPr>
            <a:solidFill xmlns:a="http://schemas.openxmlformats.org/drawingml/2006/main">
              <a:srgbClr val="E24B47"/>
            </a:solidFill>
            <a:ln xmlns:a="http://schemas.openxmlformats.org/drawingml/2006/main">
              <a:solidFill>
                <a:srgbClr val="FFFFFF"/>
              </a:solidFill>
              <a:prstDash val="solid"/>
            </a:ln>
          </spPr>
          <cat>
            <numRef>
              <f>'P3 Cluster business'!$A$6:$A$8</f>
            </numRef>
          </cat>
          <val>
            <numRef>
              <f>'P3 Cluster business'!$D$6:$D$8</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Spain &amp; Portugal · Factory</a:t>
            </a:r>
          </a:p>
        </rich>
      </tx>
    </title>
    <plotArea>
      <barChart>
        <barDir val="col"/>
        <grouping val="stacked"/>
        <ser>
          <idx val="0"/>
          <order val="0"/>
          <tx>
            <strRef>
              <f>'P3 Cluster business'!B21</f>
            </strRef>
          </tx>
          <spPr>
            <a:solidFill xmlns:a="http://schemas.openxmlformats.org/drawingml/2006/main">
              <a:srgbClr val="1FA276"/>
            </a:solidFill>
            <a:ln xmlns:a="http://schemas.openxmlformats.org/drawingml/2006/main">
              <a:solidFill>
                <a:srgbClr val="FFFFFF"/>
              </a:solidFill>
              <a:prstDash val="solid"/>
            </a:ln>
          </spPr>
          <cat>
            <numRef>
              <f>'P3 Cluster business'!$A$22:$A$24</f>
            </numRef>
          </cat>
          <val>
            <numRef>
              <f>'P3 Cluster business'!$B$22:$B$24</f>
            </numRef>
          </val>
        </ser>
        <ser>
          <idx val="1"/>
          <order val="1"/>
          <tx>
            <strRef>
              <f>'P3 Cluster business'!C21</f>
            </strRef>
          </tx>
          <spPr>
            <a:solidFill xmlns:a="http://schemas.openxmlformats.org/drawingml/2006/main">
              <a:srgbClr val="F0A02C"/>
            </a:solidFill>
            <a:ln xmlns:a="http://schemas.openxmlformats.org/drawingml/2006/main">
              <a:solidFill>
                <a:srgbClr val="FFFFFF"/>
              </a:solidFill>
              <a:prstDash val="solid"/>
            </a:ln>
          </spPr>
          <cat>
            <numRef>
              <f>'P3 Cluster business'!$A$22:$A$24</f>
            </numRef>
          </cat>
          <val>
            <numRef>
              <f>'P3 Cluster business'!$C$22:$C$24</f>
            </numRef>
          </val>
        </ser>
        <ser>
          <idx val="2"/>
          <order val="2"/>
          <tx>
            <strRef>
              <f>'P3 Cluster business'!D21</f>
            </strRef>
          </tx>
          <spPr>
            <a:solidFill xmlns:a="http://schemas.openxmlformats.org/drawingml/2006/main">
              <a:srgbClr val="E24B47"/>
            </a:solidFill>
            <a:ln xmlns:a="http://schemas.openxmlformats.org/drawingml/2006/main">
              <a:solidFill>
                <a:srgbClr val="FFFFFF"/>
              </a:solidFill>
              <a:prstDash val="solid"/>
            </a:ln>
          </spPr>
          <cat>
            <numRef>
              <f>'P3 Cluster business'!$A$22:$A$24</f>
            </numRef>
          </cat>
          <val>
            <numRef>
              <f>'P3 Cluster business'!$D$22:$D$24</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Spain &amp; Portugal · Warehouse</a:t>
            </a:r>
          </a:p>
        </rich>
      </tx>
    </title>
    <plotArea>
      <barChart>
        <barDir val="col"/>
        <grouping val="stacked"/>
        <ser>
          <idx val="0"/>
          <order val="0"/>
          <tx>
            <strRef>
              <f>'P3 Cluster business'!B37</f>
            </strRef>
          </tx>
          <spPr>
            <a:solidFill xmlns:a="http://schemas.openxmlformats.org/drawingml/2006/main">
              <a:srgbClr val="1FA276"/>
            </a:solidFill>
            <a:ln xmlns:a="http://schemas.openxmlformats.org/drawingml/2006/main">
              <a:solidFill>
                <a:srgbClr val="FFFFFF"/>
              </a:solidFill>
              <a:prstDash val="solid"/>
            </a:ln>
          </spPr>
          <cat>
            <numRef>
              <f>'P3 Cluster business'!$A$38:$A$40</f>
            </numRef>
          </cat>
          <val>
            <numRef>
              <f>'P3 Cluster business'!$B$38:$B$40</f>
            </numRef>
          </val>
        </ser>
        <ser>
          <idx val="1"/>
          <order val="1"/>
          <tx>
            <strRef>
              <f>'P3 Cluster business'!C37</f>
            </strRef>
          </tx>
          <spPr>
            <a:solidFill xmlns:a="http://schemas.openxmlformats.org/drawingml/2006/main">
              <a:srgbClr val="F0A02C"/>
            </a:solidFill>
            <a:ln xmlns:a="http://schemas.openxmlformats.org/drawingml/2006/main">
              <a:solidFill>
                <a:srgbClr val="FFFFFF"/>
              </a:solidFill>
              <a:prstDash val="solid"/>
            </a:ln>
          </spPr>
          <cat>
            <numRef>
              <f>'P3 Cluster business'!$A$38:$A$40</f>
            </numRef>
          </cat>
          <val>
            <numRef>
              <f>'P3 Cluster business'!$C$38:$C$40</f>
            </numRef>
          </val>
        </ser>
        <ser>
          <idx val="2"/>
          <order val="2"/>
          <tx>
            <strRef>
              <f>'P3 Cluster business'!D37</f>
            </strRef>
          </tx>
          <spPr>
            <a:solidFill xmlns:a="http://schemas.openxmlformats.org/drawingml/2006/main">
              <a:srgbClr val="E24B47"/>
            </a:solidFill>
            <a:ln xmlns:a="http://schemas.openxmlformats.org/drawingml/2006/main">
              <a:solidFill>
                <a:srgbClr val="FFFFFF"/>
              </a:solidFill>
              <a:prstDash val="solid"/>
            </a:ln>
          </spPr>
          <cat>
            <numRef>
              <f>'P3 Cluster business'!$A$38:$A$40</f>
            </numRef>
          </cat>
          <val>
            <numRef>
              <f>'P3 Cluster business'!$D$38:$D$40</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Spain &amp; Portugal · Services</a:t>
            </a:r>
          </a:p>
        </rich>
      </tx>
    </title>
    <plotArea>
      <barChart>
        <barDir val="col"/>
        <grouping val="stacked"/>
        <ser>
          <idx val="0"/>
          <order val="0"/>
          <tx>
            <strRef>
              <f>'P3 Cluster business'!B53</f>
            </strRef>
          </tx>
          <spPr>
            <a:solidFill xmlns:a="http://schemas.openxmlformats.org/drawingml/2006/main">
              <a:srgbClr val="1FA276"/>
            </a:solidFill>
            <a:ln xmlns:a="http://schemas.openxmlformats.org/drawingml/2006/main">
              <a:solidFill>
                <a:srgbClr val="FFFFFF"/>
              </a:solidFill>
              <a:prstDash val="solid"/>
            </a:ln>
          </spPr>
          <cat>
            <numRef>
              <f>'P3 Cluster business'!$A$54:$A$56</f>
            </numRef>
          </cat>
          <val>
            <numRef>
              <f>'P3 Cluster business'!$B$54:$B$56</f>
            </numRef>
          </val>
        </ser>
        <ser>
          <idx val="1"/>
          <order val="1"/>
          <tx>
            <strRef>
              <f>'P3 Cluster business'!C53</f>
            </strRef>
          </tx>
          <spPr>
            <a:solidFill xmlns:a="http://schemas.openxmlformats.org/drawingml/2006/main">
              <a:srgbClr val="F0A02C"/>
            </a:solidFill>
            <a:ln xmlns:a="http://schemas.openxmlformats.org/drawingml/2006/main">
              <a:solidFill>
                <a:srgbClr val="FFFFFF"/>
              </a:solidFill>
              <a:prstDash val="solid"/>
            </a:ln>
          </spPr>
          <cat>
            <numRef>
              <f>'P3 Cluster business'!$A$54:$A$56</f>
            </numRef>
          </cat>
          <val>
            <numRef>
              <f>'P3 Cluster business'!$C$54:$C$56</f>
            </numRef>
          </val>
        </ser>
        <ser>
          <idx val="2"/>
          <order val="2"/>
          <tx>
            <strRef>
              <f>'P3 Cluster business'!D53</f>
            </strRef>
          </tx>
          <spPr>
            <a:solidFill xmlns:a="http://schemas.openxmlformats.org/drawingml/2006/main">
              <a:srgbClr val="E24B47"/>
            </a:solidFill>
            <a:ln xmlns:a="http://schemas.openxmlformats.org/drawingml/2006/main">
              <a:solidFill>
                <a:srgbClr val="FFFFFF"/>
              </a:solidFill>
              <a:prstDash val="solid"/>
            </a:ln>
          </spPr>
          <cat>
            <numRef>
              <f>'P3 Cluster business'!$A$54:$A$56</f>
            </numRef>
          </cat>
          <val>
            <numRef>
              <f>'P3 Cluster business'!$D$54:$D$56</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Mexico &amp; Colombia · Office</a:t>
            </a:r>
          </a:p>
        </rich>
      </tx>
    </title>
    <plotArea>
      <barChart>
        <barDir val="col"/>
        <grouping val="stacked"/>
        <ser>
          <idx val="0"/>
          <order val="0"/>
          <tx>
            <strRef>
              <f>'P3 Cluster business'!B69</f>
            </strRef>
          </tx>
          <spPr>
            <a:solidFill xmlns:a="http://schemas.openxmlformats.org/drawingml/2006/main">
              <a:srgbClr val="1FA276"/>
            </a:solidFill>
            <a:ln xmlns:a="http://schemas.openxmlformats.org/drawingml/2006/main">
              <a:solidFill>
                <a:srgbClr val="FFFFFF"/>
              </a:solidFill>
              <a:prstDash val="solid"/>
            </a:ln>
          </spPr>
          <cat>
            <numRef>
              <f>'P3 Cluster business'!$A$70:$A$72</f>
            </numRef>
          </cat>
          <val>
            <numRef>
              <f>'P3 Cluster business'!$B$70:$B$72</f>
            </numRef>
          </val>
        </ser>
        <ser>
          <idx val="1"/>
          <order val="1"/>
          <tx>
            <strRef>
              <f>'P3 Cluster business'!C69</f>
            </strRef>
          </tx>
          <spPr>
            <a:solidFill xmlns:a="http://schemas.openxmlformats.org/drawingml/2006/main">
              <a:srgbClr val="F0A02C"/>
            </a:solidFill>
            <a:ln xmlns:a="http://schemas.openxmlformats.org/drawingml/2006/main">
              <a:solidFill>
                <a:srgbClr val="FFFFFF"/>
              </a:solidFill>
              <a:prstDash val="solid"/>
            </a:ln>
          </spPr>
          <cat>
            <numRef>
              <f>'P3 Cluster business'!$A$70:$A$72</f>
            </numRef>
          </cat>
          <val>
            <numRef>
              <f>'P3 Cluster business'!$C$70:$C$72</f>
            </numRef>
          </val>
        </ser>
        <ser>
          <idx val="2"/>
          <order val="2"/>
          <tx>
            <strRef>
              <f>'P3 Cluster business'!D69</f>
            </strRef>
          </tx>
          <spPr>
            <a:solidFill xmlns:a="http://schemas.openxmlformats.org/drawingml/2006/main">
              <a:srgbClr val="E24B47"/>
            </a:solidFill>
            <a:ln xmlns:a="http://schemas.openxmlformats.org/drawingml/2006/main">
              <a:solidFill>
                <a:srgbClr val="FFFFFF"/>
              </a:solidFill>
              <a:prstDash val="solid"/>
            </a:ln>
          </spPr>
          <cat>
            <numRef>
              <f>'P3 Cluster business'!$A$70:$A$72</f>
            </numRef>
          </cat>
          <val>
            <numRef>
              <f>'P3 Cluster business'!$D$70:$D$72</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Mexico &amp; Colombia · EPC</a:t>
            </a:r>
          </a:p>
        </rich>
      </tx>
    </title>
    <plotArea>
      <barChart>
        <barDir val="col"/>
        <grouping val="stacked"/>
        <ser>
          <idx val="0"/>
          <order val="0"/>
          <tx>
            <strRef>
              <f>'P3 Cluster business'!B85</f>
            </strRef>
          </tx>
          <spPr>
            <a:solidFill xmlns:a="http://schemas.openxmlformats.org/drawingml/2006/main">
              <a:srgbClr val="1FA276"/>
            </a:solidFill>
            <a:ln xmlns:a="http://schemas.openxmlformats.org/drawingml/2006/main">
              <a:solidFill>
                <a:srgbClr val="FFFFFF"/>
              </a:solidFill>
              <a:prstDash val="solid"/>
            </a:ln>
          </spPr>
          <cat>
            <numRef>
              <f>'P3 Cluster business'!$A$86:$A$88</f>
            </numRef>
          </cat>
          <val>
            <numRef>
              <f>'P3 Cluster business'!$B$86:$B$88</f>
            </numRef>
          </val>
        </ser>
        <ser>
          <idx val="1"/>
          <order val="1"/>
          <tx>
            <strRef>
              <f>'P3 Cluster business'!C85</f>
            </strRef>
          </tx>
          <spPr>
            <a:solidFill xmlns:a="http://schemas.openxmlformats.org/drawingml/2006/main">
              <a:srgbClr val="F0A02C"/>
            </a:solidFill>
            <a:ln xmlns:a="http://schemas.openxmlformats.org/drawingml/2006/main">
              <a:solidFill>
                <a:srgbClr val="FFFFFF"/>
              </a:solidFill>
              <a:prstDash val="solid"/>
            </a:ln>
          </spPr>
          <cat>
            <numRef>
              <f>'P3 Cluster business'!$A$86:$A$88</f>
            </numRef>
          </cat>
          <val>
            <numRef>
              <f>'P3 Cluster business'!$C$86:$C$88</f>
            </numRef>
          </val>
        </ser>
        <ser>
          <idx val="2"/>
          <order val="2"/>
          <tx>
            <strRef>
              <f>'P3 Cluster business'!D85</f>
            </strRef>
          </tx>
          <spPr>
            <a:solidFill xmlns:a="http://schemas.openxmlformats.org/drawingml/2006/main">
              <a:srgbClr val="E24B47"/>
            </a:solidFill>
            <a:ln xmlns:a="http://schemas.openxmlformats.org/drawingml/2006/main">
              <a:solidFill>
                <a:srgbClr val="FFFFFF"/>
              </a:solidFill>
              <a:prstDash val="solid"/>
            </a:ln>
          </spPr>
          <cat>
            <numRef>
              <f>'P3 Cluster business'!$A$86:$A$88</f>
            </numRef>
          </cat>
          <val>
            <numRef>
              <f>'P3 Cluster business'!$D$86:$D$88</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Mexico &amp; Colombia · Warehouse</a:t>
            </a:r>
          </a:p>
        </rich>
      </tx>
    </title>
    <plotArea>
      <barChart>
        <barDir val="col"/>
        <grouping val="stacked"/>
        <ser>
          <idx val="0"/>
          <order val="0"/>
          <tx>
            <strRef>
              <f>'P3 Cluster business'!B101</f>
            </strRef>
          </tx>
          <spPr>
            <a:solidFill xmlns:a="http://schemas.openxmlformats.org/drawingml/2006/main">
              <a:srgbClr val="1FA276"/>
            </a:solidFill>
            <a:ln xmlns:a="http://schemas.openxmlformats.org/drawingml/2006/main">
              <a:solidFill>
                <a:srgbClr val="FFFFFF"/>
              </a:solidFill>
              <a:prstDash val="solid"/>
            </a:ln>
          </spPr>
          <cat>
            <numRef>
              <f>'P3 Cluster business'!$A$102:$A$104</f>
            </numRef>
          </cat>
          <val>
            <numRef>
              <f>'P3 Cluster business'!$B$102:$B$104</f>
            </numRef>
          </val>
        </ser>
        <ser>
          <idx val="1"/>
          <order val="1"/>
          <tx>
            <strRef>
              <f>'P3 Cluster business'!C101</f>
            </strRef>
          </tx>
          <spPr>
            <a:solidFill xmlns:a="http://schemas.openxmlformats.org/drawingml/2006/main">
              <a:srgbClr val="F0A02C"/>
            </a:solidFill>
            <a:ln xmlns:a="http://schemas.openxmlformats.org/drawingml/2006/main">
              <a:solidFill>
                <a:srgbClr val="FFFFFF"/>
              </a:solidFill>
              <a:prstDash val="solid"/>
            </a:ln>
          </spPr>
          <cat>
            <numRef>
              <f>'P3 Cluster business'!$A$102:$A$104</f>
            </numRef>
          </cat>
          <val>
            <numRef>
              <f>'P3 Cluster business'!$C$102:$C$104</f>
            </numRef>
          </val>
        </ser>
        <ser>
          <idx val="2"/>
          <order val="2"/>
          <tx>
            <strRef>
              <f>'P3 Cluster business'!D101</f>
            </strRef>
          </tx>
          <spPr>
            <a:solidFill xmlns:a="http://schemas.openxmlformats.org/drawingml/2006/main">
              <a:srgbClr val="E24B47"/>
            </a:solidFill>
            <a:ln xmlns:a="http://schemas.openxmlformats.org/drawingml/2006/main">
              <a:solidFill>
                <a:srgbClr val="FFFFFF"/>
              </a:solidFill>
              <a:prstDash val="solid"/>
            </a:ln>
          </spPr>
          <cat>
            <numRef>
              <f>'P3 Cluster business'!$A$102:$A$104</f>
            </numRef>
          </cat>
          <val>
            <numRef>
              <f>'P3 Cluster business'!$D$102:$D$104</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Mexico &amp; Colombia · Services</a:t>
            </a:r>
          </a:p>
        </rich>
      </tx>
    </title>
    <plotArea>
      <barChart>
        <barDir val="col"/>
        <grouping val="stacked"/>
        <ser>
          <idx val="0"/>
          <order val="0"/>
          <tx>
            <strRef>
              <f>'P3 Cluster business'!B117</f>
            </strRef>
          </tx>
          <spPr>
            <a:solidFill xmlns:a="http://schemas.openxmlformats.org/drawingml/2006/main">
              <a:srgbClr val="1FA276"/>
            </a:solidFill>
            <a:ln xmlns:a="http://schemas.openxmlformats.org/drawingml/2006/main">
              <a:solidFill>
                <a:srgbClr val="FFFFFF"/>
              </a:solidFill>
              <a:prstDash val="solid"/>
            </a:ln>
          </spPr>
          <cat>
            <numRef>
              <f>'P3 Cluster business'!$A$118:$A$120</f>
            </numRef>
          </cat>
          <val>
            <numRef>
              <f>'P3 Cluster business'!$B$118:$B$120</f>
            </numRef>
          </val>
        </ser>
        <ser>
          <idx val="1"/>
          <order val="1"/>
          <tx>
            <strRef>
              <f>'P3 Cluster business'!C117</f>
            </strRef>
          </tx>
          <spPr>
            <a:solidFill xmlns:a="http://schemas.openxmlformats.org/drawingml/2006/main">
              <a:srgbClr val="F0A02C"/>
            </a:solidFill>
            <a:ln xmlns:a="http://schemas.openxmlformats.org/drawingml/2006/main">
              <a:solidFill>
                <a:srgbClr val="FFFFFF"/>
              </a:solidFill>
              <a:prstDash val="solid"/>
            </a:ln>
          </spPr>
          <cat>
            <numRef>
              <f>'P3 Cluster business'!$A$118:$A$120</f>
            </numRef>
          </cat>
          <val>
            <numRef>
              <f>'P3 Cluster business'!$C$118:$C$120</f>
            </numRef>
          </val>
        </ser>
        <ser>
          <idx val="2"/>
          <order val="2"/>
          <tx>
            <strRef>
              <f>'P3 Cluster business'!D117</f>
            </strRef>
          </tx>
          <spPr>
            <a:solidFill xmlns:a="http://schemas.openxmlformats.org/drawingml/2006/main">
              <a:srgbClr val="E24B47"/>
            </a:solidFill>
            <a:ln xmlns:a="http://schemas.openxmlformats.org/drawingml/2006/main">
              <a:solidFill>
                <a:srgbClr val="FFFFFF"/>
              </a:solidFill>
              <a:prstDash val="solid"/>
            </a:ln>
          </spPr>
          <cat>
            <numRef>
              <f>'P3 Cluster business'!$A$118:$A$120</f>
            </numRef>
          </cat>
          <val>
            <numRef>
              <f>'P3 Cluster business'!$D$118:$D$120</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France · Office</a:t>
            </a:r>
          </a:p>
        </rich>
      </tx>
    </title>
    <plotArea>
      <barChart>
        <barDir val="col"/>
        <grouping val="stacked"/>
        <ser>
          <idx val="0"/>
          <order val="0"/>
          <tx>
            <strRef>
              <f>'P3 Cluster business'!B133</f>
            </strRef>
          </tx>
          <spPr>
            <a:solidFill xmlns:a="http://schemas.openxmlformats.org/drawingml/2006/main">
              <a:srgbClr val="1FA276"/>
            </a:solidFill>
            <a:ln xmlns:a="http://schemas.openxmlformats.org/drawingml/2006/main">
              <a:solidFill>
                <a:srgbClr val="FFFFFF"/>
              </a:solidFill>
              <a:prstDash val="solid"/>
            </a:ln>
          </spPr>
          <cat>
            <numRef>
              <f>'P3 Cluster business'!$A$134:$A$136</f>
            </numRef>
          </cat>
          <val>
            <numRef>
              <f>'P3 Cluster business'!$B$134:$B$136</f>
            </numRef>
          </val>
        </ser>
        <ser>
          <idx val="1"/>
          <order val="1"/>
          <tx>
            <strRef>
              <f>'P3 Cluster business'!C133</f>
            </strRef>
          </tx>
          <spPr>
            <a:solidFill xmlns:a="http://schemas.openxmlformats.org/drawingml/2006/main">
              <a:srgbClr val="F0A02C"/>
            </a:solidFill>
            <a:ln xmlns:a="http://schemas.openxmlformats.org/drawingml/2006/main">
              <a:solidFill>
                <a:srgbClr val="FFFFFF"/>
              </a:solidFill>
              <a:prstDash val="solid"/>
            </a:ln>
          </spPr>
          <cat>
            <numRef>
              <f>'P3 Cluster business'!$A$134:$A$136</f>
            </numRef>
          </cat>
          <val>
            <numRef>
              <f>'P3 Cluster business'!$C$134:$C$136</f>
            </numRef>
          </val>
        </ser>
        <ser>
          <idx val="2"/>
          <order val="2"/>
          <tx>
            <strRef>
              <f>'P3 Cluster business'!D133</f>
            </strRef>
          </tx>
          <spPr>
            <a:solidFill xmlns:a="http://schemas.openxmlformats.org/drawingml/2006/main">
              <a:srgbClr val="E24B47"/>
            </a:solidFill>
            <a:ln xmlns:a="http://schemas.openxmlformats.org/drawingml/2006/main">
              <a:solidFill>
                <a:srgbClr val="FFFFFF"/>
              </a:solidFill>
              <a:prstDash val="solid"/>
            </a:ln>
          </spPr>
          <cat>
            <numRef>
              <f>'P3 Cluster business'!$A$134:$A$136</f>
            </numRef>
          </cat>
          <val>
            <numRef>
              <f>'P3 Cluster business'!$D$134:$D$136</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France · EPC</a:t>
            </a:r>
          </a:p>
        </rich>
      </tx>
    </title>
    <plotArea>
      <barChart>
        <barDir val="col"/>
        <grouping val="stacked"/>
        <ser>
          <idx val="0"/>
          <order val="0"/>
          <tx>
            <strRef>
              <f>'P3 Cluster business'!B149</f>
            </strRef>
          </tx>
          <spPr>
            <a:solidFill xmlns:a="http://schemas.openxmlformats.org/drawingml/2006/main">
              <a:srgbClr val="1FA276"/>
            </a:solidFill>
            <a:ln xmlns:a="http://schemas.openxmlformats.org/drawingml/2006/main">
              <a:solidFill>
                <a:srgbClr val="FFFFFF"/>
              </a:solidFill>
              <a:prstDash val="solid"/>
            </a:ln>
          </spPr>
          <cat>
            <numRef>
              <f>'P3 Cluster business'!$A$150:$A$152</f>
            </numRef>
          </cat>
          <val>
            <numRef>
              <f>'P3 Cluster business'!$B$150:$B$152</f>
            </numRef>
          </val>
        </ser>
        <ser>
          <idx val="1"/>
          <order val="1"/>
          <tx>
            <strRef>
              <f>'P3 Cluster business'!C149</f>
            </strRef>
          </tx>
          <spPr>
            <a:solidFill xmlns:a="http://schemas.openxmlformats.org/drawingml/2006/main">
              <a:srgbClr val="F0A02C"/>
            </a:solidFill>
            <a:ln xmlns:a="http://schemas.openxmlformats.org/drawingml/2006/main">
              <a:solidFill>
                <a:srgbClr val="FFFFFF"/>
              </a:solidFill>
              <a:prstDash val="solid"/>
            </a:ln>
          </spPr>
          <cat>
            <numRef>
              <f>'P3 Cluster business'!$A$150:$A$152</f>
            </numRef>
          </cat>
          <val>
            <numRef>
              <f>'P3 Cluster business'!$C$150:$C$152</f>
            </numRef>
          </val>
        </ser>
        <ser>
          <idx val="2"/>
          <order val="2"/>
          <tx>
            <strRef>
              <f>'P3 Cluster business'!D149</f>
            </strRef>
          </tx>
          <spPr>
            <a:solidFill xmlns:a="http://schemas.openxmlformats.org/drawingml/2006/main">
              <a:srgbClr val="E24B47"/>
            </a:solidFill>
            <a:ln xmlns:a="http://schemas.openxmlformats.org/drawingml/2006/main">
              <a:solidFill>
                <a:srgbClr val="FFFFFF"/>
              </a:solidFill>
              <a:prstDash val="solid"/>
            </a:ln>
          </spPr>
          <cat>
            <numRef>
              <f>'P3 Cluster business'!$A$150:$A$152</f>
            </numRef>
          </cat>
          <val>
            <numRef>
              <f>'P3 Cluster business'!$D$150:$D$152</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Greece &amp; Italy · Office</a:t>
            </a:r>
          </a:p>
        </rich>
      </tx>
    </title>
    <plotArea>
      <barChart>
        <barDir val="col"/>
        <grouping val="stacked"/>
        <ser>
          <idx val="0"/>
          <order val="0"/>
          <tx>
            <strRef>
              <f>'P3 Cluster business'!B165</f>
            </strRef>
          </tx>
          <spPr>
            <a:solidFill xmlns:a="http://schemas.openxmlformats.org/drawingml/2006/main">
              <a:srgbClr val="1FA276"/>
            </a:solidFill>
            <a:ln xmlns:a="http://schemas.openxmlformats.org/drawingml/2006/main">
              <a:solidFill>
                <a:srgbClr val="FFFFFF"/>
              </a:solidFill>
              <a:prstDash val="solid"/>
            </a:ln>
          </spPr>
          <cat>
            <numRef>
              <f>'P3 Cluster business'!$A$166:$A$168</f>
            </numRef>
          </cat>
          <val>
            <numRef>
              <f>'P3 Cluster business'!$B$166:$B$168</f>
            </numRef>
          </val>
        </ser>
        <ser>
          <idx val="1"/>
          <order val="1"/>
          <tx>
            <strRef>
              <f>'P3 Cluster business'!C165</f>
            </strRef>
          </tx>
          <spPr>
            <a:solidFill xmlns:a="http://schemas.openxmlformats.org/drawingml/2006/main">
              <a:srgbClr val="F0A02C"/>
            </a:solidFill>
            <a:ln xmlns:a="http://schemas.openxmlformats.org/drawingml/2006/main">
              <a:solidFill>
                <a:srgbClr val="FFFFFF"/>
              </a:solidFill>
              <a:prstDash val="solid"/>
            </a:ln>
          </spPr>
          <cat>
            <numRef>
              <f>'P3 Cluster business'!$A$166:$A$168</f>
            </numRef>
          </cat>
          <val>
            <numRef>
              <f>'P3 Cluster business'!$C$166:$C$168</f>
            </numRef>
          </val>
        </ser>
        <ser>
          <idx val="2"/>
          <order val="2"/>
          <tx>
            <strRef>
              <f>'P3 Cluster business'!D165</f>
            </strRef>
          </tx>
          <spPr>
            <a:solidFill xmlns:a="http://schemas.openxmlformats.org/drawingml/2006/main">
              <a:srgbClr val="E24B47"/>
            </a:solidFill>
            <a:ln xmlns:a="http://schemas.openxmlformats.org/drawingml/2006/main">
              <a:solidFill>
                <a:srgbClr val="FFFFFF"/>
              </a:solidFill>
              <a:prstDash val="solid"/>
            </a:ln>
          </spPr>
          <cat>
            <numRef>
              <f>'P3 Cluster business'!$A$166:$A$168</f>
            </numRef>
          </cat>
          <val>
            <numRef>
              <f>'P3 Cluster business'!$D$166:$D$168</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Compliance mix by type of business (100%)</a:t>
            </a:r>
          </a:p>
        </rich>
      </tx>
    </title>
    <plotArea>
      <barChart>
        <barDir val="bar"/>
        <grouping val="percentStacked"/>
        <ser>
          <idx val="0"/>
          <order val="0"/>
          <tx>
            <strRef>
              <f>'P3 Cluster mix'!C4</f>
            </strRef>
          </tx>
          <spPr>
            <a:solidFill xmlns:a="http://schemas.openxmlformats.org/drawingml/2006/main">
              <a:srgbClr val="1FA276"/>
            </a:solidFill>
            <a:ln xmlns:a="http://schemas.openxmlformats.org/drawingml/2006/main">
              <a:solidFill>
                <a:srgbClr val="FFFFFF"/>
              </a:solidFill>
              <a:prstDash val="solid"/>
            </a:ln>
          </spPr>
          <cat>
            <numRef>
              <f>'P3 Cluster mix'!$A$5:$B$15</f>
            </numRef>
          </cat>
          <val>
            <numRef>
              <f>'P3 Cluster mix'!$C$5:$C$15</f>
            </numRef>
          </val>
        </ser>
        <ser>
          <idx val="1"/>
          <order val="1"/>
          <tx>
            <strRef>
              <f>'P3 Cluster mix'!D4</f>
            </strRef>
          </tx>
          <spPr>
            <a:solidFill xmlns:a="http://schemas.openxmlformats.org/drawingml/2006/main">
              <a:srgbClr val="F0A02C"/>
            </a:solidFill>
            <a:ln xmlns:a="http://schemas.openxmlformats.org/drawingml/2006/main">
              <a:solidFill>
                <a:srgbClr val="FFFFFF"/>
              </a:solidFill>
              <a:prstDash val="solid"/>
            </a:ln>
          </spPr>
          <cat>
            <numRef>
              <f>'P3 Cluster mix'!$A$5:$B$15</f>
            </numRef>
          </cat>
          <val>
            <numRef>
              <f>'P3 Cluster mix'!$D$5:$D$15</f>
            </numRef>
          </val>
        </ser>
        <ser>
          <idx val="2"/>
          <order val="2"/>
          <tx>
            <strRef>
              <f>'P3 Cluster mix'!E4</f>
            </strRef>
          </tx>
          <spPr>
            <a:solidFill xmlns:a="http://schemas.openxmlformats.org/drawingml/2006/main">
              <a:srgbClr val="E24B47"/>
            </a:solidFill>
            <a:ln xmlns:a="http://schemas.openxmlformats.org/drawingml/2006/main">
              <a:solidFill>
                <a:srgbClr val="FFFFFF"/>
              </a:solidFill>
              <a:prstDash val="solid"/>
            </a:ln>
          </spPr>
          <cat>
            <numRef>
              <f>'P3 Cluster mix'!$A$5:$B$15</f>
            </numRef>
          </cat>
          <val>
            <numRef>
              <f>'P3 Cluster mix'!$E$5:$E$15</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Share</a:t>
                </a:r>
              </a:p>
            </rich>
          </tx>
        </title>
        <majorTickMark val="none"/>
        <minorTickMark val="none"/>
        <crossAx val="10"/>
      </valAx>
    </plotArea>
    <legend>
      <legendPos val="b"/>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High criticality by type of business and cluster</a:t>
            </a:r>
          </a:p>
        </rich>
      </tx>
    </title>
    <plotArea>
      <barChart>
        <barDir val="col"/>
        <grouping val="stacked"/>
        <ser>
          <idx val="0"/>
          <order val="0"/>
          <tx>
            <strRef>
              <f>'P4 Global high'!D4</f>
            </strRef>
          </tx>
          <spPr>
            <a:solidFill xmlns:a="http://schemas.openxmlformats.org/drawingml/2006/main">
              <a:srgbClr val="1FA276"/>
            </a:solidFill>
            <a:ln xmlns:a="http://schemas.openxmlformats.org/drawingml/2006/main">
              <a:solidFill>
                <a:srgbClr val="FFFFFF"/>
              </a:solidFill>
              <a:prstDash val="solid"/>
            </a:ln>
          </spPr>
          <cat>
            <numRef>
              <f>'P4 Global high'!$I$5:$I$15</f>
            </numRef>
          </cat>
          <val>
            <numRef>
              <f>'P4 Global high'!$D$5:$D$15</f>
            </numRef>
          </val>
        </ser>
        <ser>
          <idx val="1"/>
          <order val="1"/>
          <tx>
            <strRef>
              <f>'P4 Global high'!E4</f>
            </strRef>
          </tx>
          <spPr>
            <a:solidFill xmlns:a="http://schemas.openxmlformats.org/drawingml/2006/main">
              <a:srgbClr val="F0A02C"/>
            </a:solidFill>
            <a:ln xmlns:a="http://schemas.openxmlformats.org/drawingml/2006/main">
              <a:solidFill>
                <a:srgbClr val="FFFFFF"/>
              </a:solidFill>
              <a:prstDash val="solid"/>
            </a:ln>
          </spPr>
          <cat>
            <numRef>
              <f>'P4 Global high'!$I$5:$I$15</f>
            </numRef>
          </cat>
          <val>
            <numRef>
              <f>'P4 Global high'!$E$5:$E$15</f>
            </numRef>
          </val>
        </ser>
        <ser>
          <idx val="2"/>
          <order val="2"/>
          <tx>
            <strRef>
              <f>'P4 Global high'!F4</f>
            </strRef>
          </tx>
          <spPr>
            <a:solidFill xmlns:a="http://schemas.openxmlformats.org/drawingml/2006/main">
              <a:srgbClr val="E24B47"/>
            </a:solidFill>
            <a:ln xmlns:a="http://schemas.openxmlformats.org/drawingml/2006/main">
              <a:solidFill>
                <a:srgbClr val="FFFFFF"/>
              </a:solidFill>
              <a:prstDash val="solid"/>
            </a:ln>
          </spPr>
          <cat>
            <numRef>
              <f>'P4 Global high'!$I$5:$I$15</f>
            </numRef>
          </cat>
          <val>
            <numRef>
              <f>'P4 Global high'!$F$5:$F$15</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Spain &amp; Portugal · high criticality</a:t>
            </a:r>
          </a:p>
        </rich>
      </tx>
    </title>
    <plotArea>
      <barChart>
        <barDir val="col"/>
        <grouping val="stacked"/>
        <ser>
          <idx val="0"/>
          <order val="0"/>
          <tx>
            <strRef>
              <f>'P4 High by cluster'!B5</f>
            </strRef>
          </tx>
          <spPr>
            <a:solidFill xmlns:a="http://schemas.openxmlformats.org/drawingml/2006/main">
              <a:srgbClr val="1FA276"/>
            </a:solidFill>
            <a:ln xmlns:a="http://schemas.openxmlformats.org/drawingml/2006/main">
              <a:solidFill>
                <a:srgbClr val="FFFFFF"/>
              </a:solidFill>
              <a:prstDash val="solid"/>
            </a:ln>
          </spPr>
          <cat>
            <numRef>
              <f>'P4 High by cluster'!$A$6:$A$9</f>
            </numRef>
          </cat>
          <val>
            <numRef>
              <f>'P4 High by cluster'!$B$6:$B$9</f>
            </numRef>
          </val>
        </ser>
        <ser>
          <idx val="1"/>
          <order val="1"/>
          <tx>
            <strRef>
              <f>'P4 High by cluster'!C5</f>
            </strRef>
          </tx>
          <spPr>
            <a:solidFill xmlns:a="http://schemas.openxmlformats.org/drawingml/2006/main">
              <a:srgbClr val="F0A02C"/>
            </a:solidFill>
            <a:ln xmlns:a="http://schemas.openxmlformats.org/drawingml/2006/main">
              <a:solidFill>
                <a:srgbClr val="FFFFFF"/>
              </a:solidFill>
              <a:prstDash val="solid"/>
            </a:ln>
          </spPr>
          <cat>
            <numRef>
              <f>'P4 High by cluster'!$A$6:$A$9</f>
            </numRef>
          </cat>
          <val>
            <numRef>
              <f>'P4 High by cluster'!$C$6:$C$9</f>
            </numRef>
          </val>
        </ser>
        <ser>
          <idx val="2"/>
          <order val="2"/>
          <tx>
            <strRef>
              <f>'P4 High by cluster'!D5</f>
            </strRef>
          </tx>
          <spPr>
            <a:solidFill xmlns:a="http://schemas.openxmlformats.org/drawingml/2006/main">
              <a:srgbClr val="E24B47"/>
            </a:solidFill>
            <a:ln xmlns:a="http://schemas.openxmlformats.org/drawingml/2006/main">
              <a:solidFill>
                <a:srgbClr val="FFFFFF"/>
              </a:solidFill>
              <a:prstDash val="solid"/>
            </a:ln>
          </spPr>
          <cat>
            <numRef>
              <f>'P4 High by cluster'!$A$6:$A$9</f>
            </numRef>
          </cat>
          <val>
            <numRef>
              <f>'P4 High by cluster'!$D$6:$D$9</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Mexico &amp; Colombia · high criticality</a:t>
            </a:r>
          </a:p>
        </rich>
      </tx>
    </title>
    <plotArea>
      <barChart>
        <barDir val="col"/>
        <grouping val="stacked"/>
        <ser>
          <idx val="0"/>
          <order val="0"/>
          <tx>
            <strRef>
              <f>'P4 High by cluster'!B22</f>
            </strRef>
          </tx>
          <spPr>
            <a:solidFill xmlns:a="http://schemas.openxmlformats.org/drawingml/2006/main">
              <a:srgbClr val="1FA276"/>
            </a:solidFill>
            <a:ln xmlns:a="http://schemas.openxmlformats.org/drawingml/2006/main">
              <a:solidFill>
                <a:srgbClr val="FFFFFF"/>
              </a:solidFill>
              <a:prstDash val="solid"/>
            </a:ln>
          </spPr>
          <cat>
            <numRef>
              <f>'P4 High by cluster'!$A$23:$A$26</f>
            </numRef>
          </cat>
          <val>
            <numRef>
              <f>'P4 High by cluster'!$B$23:$B$26</f>
            </numRef>
          </val>
        </ser>
        <ser>
          <idx val="1"/>
          <order val="1"/>
          <tx>
            <strRef>
              <f>'P4 High by cluster'!C22</f>
            </strRef>
          </tx>
          <spPr>
            <a:solidFill xmlns:a="http://schemas.openxmlformats.org/drawingml/2006/main">
              <a:srgbClr val="F0A02C"/>
            </a:solidFill>
            <a:ln xmlns:a="http://schemas.openxmlformats.org/drawingml/2006/main">
              <a:solidFill>
                <a:srgbClr val="FFFFFF"/>
              </a:solidFill>
              <a:prstDash val="solid"/>
            </a:ln>
          </spPr>
          <cat>
            <numRef>
              <f>'P4 High by cluster'!$A$23:$A$26</f>
            </numRef>
          </cat>
          <val>
            <numRef>
              <f>'P4 High by cluster'!$C$23:$C$26</f>
            </numRef>
          </val>
        </ser>
        <ser>
          <idx val="2"/>
          <order val="2"/>
          <tx>
            <strRef>
              <f>'P4 High by cluster'!D22</f>
            </strRef>
          </tx>
          <spPr>
            <a:solidFill xmlns:a="http://schemas.openxmlformats.org/drawingml/2006/main">
              <a:srgbClr val="E24B47"/>
            </a:solidFill>
            <a:ln xmlns:a="http://schemas.openxmlformats.org/drawingml/2006/main">
              <a:solidFill>
                <a:srgbClr val="FFFFFF"/>
              </a:solidFill>
              <a:prstDash val="solid"/>
            </a:ln>
          </spPr>
          <cat>
            <numRef>
              <f>'P4 High by cluster'!$A$23:$A$26</f>
            </numRef>
          </cat>
          <val>
            <numRef>
              <f>'P4 High by cluster'!$D$23:$D$26</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France · high criticality</a:t>
            </a:r>
          </a:p>
        </rich>
      </tx>
    </title>
    <plotArea>
      <barChart>
        <barDir val="col"/>
        <grouping val="stacked"/>
        <ser>
          <idx val="0"/>
          <order val="0"/>
          <tx>
            <strRef>
              <f>'P4 High by cluster'!B39</f>
            </strRef>
          </tx>
          <spPr>
            <a:solidFill xmlns:a="http://schemas.openxmlformats.org/drawingml/2006/main">
              <a:srgbClr val="1FA276"/>
            </a:solidFill>
            <a:ln xmlns:a="http://schemas.openxmlformats.org/drawingml/2006/main">
              <a:solidFill>
                <a:srgbClr val="FFFFFF"/>
              </a:solidFill>
              <a:prstDash val="solid"/>
            </a:ln>
          </spPr>
          <cat>
            <numRef>
              <f>'P4 High by cluster'!$A$40:$A$41</f>
            </numRef>
          </cat>
          <val>
            <numRef>
              <f>'P4 High by cluster'!$B$40:$B$41</f>
            </numRef>
          </val>
        </ser>
        <ser>
          <idx val="1"/>
          <order val="1"/>
          <tx>
            <strRef>
              <f>'P4 High by cluster'!C39</f>
            </strRef>
          </tx>
          <spPr>
            <a:solidFill xmlns:a="http://schemas.openxmlformats.org/drawingml/2006/main">
              <a:srgbClr val="F0A02C"/>
            </a:solidFill>
            <a:ln xmlns:a="http://schemas.openxmlformats.org/drawingml/2006/main">
              <a:solidFill>
                <a:srgbClr val="FFFFFF"/>
              </a:solidFill>
              <a:prstDash val="solid"/>
            </a:ln>
          </spPr>
          <cat>
            <numRef>
              <f>'P4 High by cluster'!$A$40:$A$41</f>
            </numRef>
          </cat>
          <val>
            <numRef>
              <f>'P4 High by cluster'!$C$40:$C$41</f>
            </numRef>
          </val>
        </ser>
        <ser>
          <idx val="2"/>
          <order val="2"/>
          <tx>
            <strRef>
              <f>'P4 High by cluster'!D39</f>
            </strRef>
          </tx>
          <spPr>
            <a:solidFill xmlns:a="http://schemas.openxmlformats.org/drawingml/2006/main">
              <a:srgbClr val="E24B47"/>
            </a:solidFill>
            <a:ln xmlns:a="http://schemas.openxmlformats.org/drawingml/2006/main">
              <a:solidFill>
                <a:srgbClr val="FFFFFF"/>
              </a:solidFill>
              <a:prstDash val="solid"/>
            </a:ln>
          </spPr>
          <cat>
            <numRef>
              <f>'P4 High by cluster'!$A$40:$A$41</f>
            </numRef>
          </cat>
          <val>
            <numRef>
              <f>'P4 High by cluster'!$D$40:$D$41</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Greece &amp; Italy · high criticality</a:t>
            </a:r>
          </a:p>
        </rich>
      </tx>
    </title>
    <plotArea>
      <barChart>
        <barDir val="col"/>
        <grouping val="stacked"/>
        <ser>
          <idx val="0"/>
          <order val="0"/>
          <tx>
            <strRef>
              <f>'P4 High by cluster'!B56</f>
            </strRef>
          </tx>
          <spPr>
            <a:solidFill xmlns:a="http://schemas.openxmlformats.org/drawingml/2006/main">
              <a:srgbClr val="1FA276"/>
            </a:solidFill>
            <a:ln xmlns:a="http://schemas.openxmlformats.org/drawingml/2006/main">
              <a:solidFill>
                <a:srgbClr val="FFFFFF"/>
              </a:solidFill>
              <a:prstDash val="solid"/>
            </a:ln>
          </spPr>
          <cat>
            <numRef>
              <f>'P4 High by cluster'!$A$57</f>
            </numRef>
          </cat>
          <val>
            <numRef>
              <f>'P4 High by cluster'!$B$57</f>
            </numRef>
          </val>
        </ser>
        <ser>
          <idx val="1"/>
          <order val="1"/>
          <tx>
            <strRef>
              <f>'P4 High by cluster'!C56</f>
            </strRef>
          </tx>
          <spPr>
            <a:solidFill xmlns:a="http://schemas.openxmlformats.org/drawingml/2006/main">
              <a:srgbClr val="F0A02C"/>
            </a:solidFill>
            <a:ln xmlns:a="http://schemas.openxmlformats.org/drawingml/2006/main">
              <a:solidFill>
                <a:srgbClr val="FFFFFF"/>
              </a:solidFill>
              <a:prstDash val="solid"/>
            </a:ln>
          </spPr>
          <cat>
            <numRef>
              <f>'P4 High by cluster'!$A$57</f>
            </numRef>
          </cat>
          <val>
            <numRef>
              <f>'P4 High by cluster'!$C$57</f>
            </numRef>
          </val>
        </ser>
        <ser>
          <idx val="2"/>
          <order val="2"/>
          <tx>
            <strRef>
              <f>'P4 High by cluster'!D56</f>
            </strRef>
          </tx>
          <spPr>
            <a:solidFill xmlns:a="http://schemas.openxmlformats.org/drawingml/2006/main">
              <a:srgbClr val="E24B47"/>
            </a:solidFill>
            <a:ln xmlns:a="http://schemas.openxmlformats.org/drawingml/2006/main">
              <a:solidFill>
                <a:srgbClr val="FFFFFF"/>
              </a:solidFill>
              <a:prstDash val="solid"/>
            </a:ln>
          </spPr>
          <cat>
            <numRef>
              <f>'P4 High by cluster'!$A$57</f>
            </numRef>
          </cat>
          <val>
            <numRef>
              <f>'P4 High by cluster'!$D$57</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High criticality mix per cluster</a:t>
            </a:r>
          </a:p>
        </rich>
      </tx>
    </title>
    <plotArea>
      <barChart>
        <barDir val="bar"/>
        <grouping val="percentStacked"/>
        <ser>
          <idx val="0"/>
          <order val="0"/>
          <tx>
            <strRef>
              <f>'P4 High mix'!B4</f>
            </strRef>
          </tx>
          <spPr>
            <a:solidFill xmlns:a="http://schemas.openxmlformats.org/drawingml/2006/main">
              <a:srgbClr val="1FA276"/>
            </a:solidFill>
            <a:ln xmlns:a="http://schemas.openxmlformats.org/drawingml/2006/main">
              <a:solidFill>
                <a:srgbClr val="FFFFFF"/>
              </a:solidFill>
              <a:prstDash val="solid"/>
            </a:ln>
          </spPr>
          <cat>
            <numRef>
              <f>'P4 High mix'!$A$5:$A$8</f>
            </numRef>
          </cat>
          <val>
            <numRef>
              <f>'P4 High mix'!$B$5:$B$8</f>
            </numRef>
          </val>
        </ser>
        <ser>
          <idx val="1"/>
          <order val="1"/>
          <tx>
            <strRef>
              <f>'P4 High mix'!C4</f>
            </strRef>
          </tx>
          <spPr>
            <a:solidFill xmlns:a="http://schemas.openxmlformats.org/drawingml/2006/main">
              <a:srgbClr val="F0A02C"/>
            </a:solidFill>
            <a:ln xmlns:a="http://schemas.openxmlformats.org/drawingml/2006/main">
              <a:solidFill>
                <a:srgbClr val="FFFFFF"/>
              </a:solidFill>
              <a:prstDash val="solid"/>
            </a:ln>
          </spPr>
          <cat>
            <numRef>
              <f>'P4 High mix'!$A$5:$A$8</f>
            </numRef>
          </cat>
          <val>
            <numRef>
              <f>'P4 High mix'!$C$5:$C$8</f>
            </numRef>
          </val>
        </ser>
        <ser>
          <idx val="2"/>
          <order val="2"/>
          <tx>
            <strRef>
              <f>'P4 High mix'!D4</f>
            </strRef>
          </tx>
          <spPr>
            <a:solidFill xmlns:a="http://schemas.openxmlformats.org/drawingml/2006/main">
              <a:srgbClr val="E24B47"/>
            </a:solidFill>
            <a:ln xmlns:a="http://schemas.openxmlformats.org/drawingml/2006/main">
              <a:solidFill>
                <a:srgbClr val="FFFFFF"/>
              </a:solidFill>
              <a:prstDash val="solid"/>
            </a:ln>
          </spPr>
          <cat>
            <numRef>
              <f>'P4 High mix'!$A$5:$A$8</f>
            </numRef>
          </cat>
          <val>
            <numRef>
              <f>'P4 High mix'!$D$5:$D$8</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t>
                </a:r>
              </a:p>
            </rich>
          </tx>
        </title>
        <majorTickMark val="none"/>
        <minorTickMark val="none"/>
        <crossAx val="10"/>
      </valAx>
    </plotArea>
    <legend>
      <legendPos val="b"/>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High criticality mix per type of business</a:t>
            </a:r>
          </a:p>
        </rich>
      </tx>
    </title>
    <plotArea>
      <barChart>
        <barDir val="bar"/>
        <grouping val="percentStacked"/>
        <ser>
          <idx val="0"/>
          <order val="0"/>
          <tx>
            <strRef>
              <f>'P4 High mix'!B12</f>
            </strRef>
          </tx>
          <spPr>
            <a:solidFill xmlns:a="http://schemas.openxmlformats.org/drawingml/2006/main">
              <a:srgbClr val="1FA276"/>
            </a:solidFill>
            <a:ln xmlns:a="http://schemas.openxmlformats.org/drawingml/2006/main">
              <a:solidFill>
                <a:srgbClr val="FFFFFF"/>
              </a:solidFill>
              <a:prstDash val="solid"/>
            </a:ln>
          </spPr>
          <cat>
            <numRef>
              <f>'P4 High mix'!$A$13:$A$17</f>
            </numRef>
          </cat>
          <val>
            <numRef>
              <f>'P4 High mix'!$B$13:$B$17</f>
            </numRef>
          </val>
        </ser>
        <ser>
          <idx val="1"/>
          <order val="1"/>
          <tx>
            <strRef>
              <f>'P4 High mix'!C12</f>
            </strRef>
          </tx>
          <spPr>
            <a:solidFill xmlns:a="http://schemas.openxmlformats.org/drawingml/2006/main">
              <a:srgbClr val="F0A02C"/>
            </a:solidFill>
            <a:ln xmlns:a="http://schemas.openxmlformats.org/drawingml/2006/main">
              <a:solidFill>
                <a:srgbClr val="FFFFFF"/>
              </a:solidFill>
              <a:prstDash val="solid"/>
            </a:ln>
          </spPr>
          <cat>
            <numRef>
              <f>'P4 High mix'!$A$13:$A$17</f>
            </numRef>
          </cat>
          <val>
            <numRef>
              <f>'P4 High mix'!$C$13:$C$17</f>
            </numRef>
          </val>
        </ser>
        <ser>
          <idx val="2"/>
          <order val="2"/>
          <tx>
            <strRef>
              <f>'P4 High mix'!D12</f>
            </strRef>
          </tx>
          <spPr>
            <a:solidFill xmlns:a="http://schemas.openxmlformats.org/drawingml/2006/main">
              <a:srgbClr val="E24B47"/>
            </a:solidFill>
            <a:ln xmlns:a="http://schemas.openxmlformats.org/drawingml/2006/main">
              <a:solidFill>
                <a:srgbClr val="FFFFFF"/>
              </a:solidFill>
              <a:prstDash val="solid"/>
            </a:ln>
          </spPr>
          <cat>
            <numRef>
              <f>'P4 High mix'!$A$13:$A$17</f>
            </numRef>
          </cat>
          <val>
            <numRef>
              <f>'P4 High mix'!$D$13:$D$17</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t>
                </a:r>
              </a:p>
            </rich>
          </tx>
        </title>
        <majorTickMark val="none"/>
        <minorTickMark val="none"/>
        <crossAx val="10"/>
      </valAx>
    </plotArea>
    <legend>
      <legendPos val="b"/>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Spain &amp; Portugal</a:t>
            </a:r>
          </a:p>
        </rich>
      </tx>
    </title>
    <plotArea>
      <barChart>
        <barDir val="col"/>
        <grouping val="stacked"/>
        <ser>
          <idx val="0"/>
          <order val="0"/>
          <tx>
            <strRef>
              <f>'P4 All criticality'!B5</f>
            </strRef>
          </tx>
          <spPr>
            <a:solidFill xmlns:a="http://schemas.openxmlformats.org/drawingml/2006/main">
              <a:srgbClr val="1FA276"/>
            </a:solidFill>
            <a:ln xmlns:a="http://schemas.openxmlformats.org/drawingml/2006/main">
              <a:solidFill>
                <a:srgbClr val="FFFFFF"/>
              </a:solidFill>
              <a:prstDash val="solid"/>
            </a:ln>
          </spPr>
          <cat>
            <numRef>
              <f>'P4 All criticality'!$A$6:$A$8</f>
            </numRef>
          </cat>
          <val>
            <numRef>
              <f>'P4 All criticality'!$B$6:$B$8</f>
            </numRef>
          </val>
        </ser>
        <ser>
          <idx val="1"/>
          <order val="1"/>
          <tx>
            <strRef>
              <f>'P4 All criticality'!C5</f>
            </strRef>
          </tx>
          <spPr>
            <a:solidFill xmlns:a="http://schemas.openxmlformats.org/drawingml/2006/main">
              <a:srgbClr val="F0A02C"/>
            </a:solidFill>
            <a:ln xmlns:a="http://schemas.openxmlformats.org/drawingml/2006/main">
              <a:solidFill>
                <a:srgbClr val="FFFFFF"/>
              </a:solidFill>
              <a:prstDash val="solid"/>
            </a:ln>
          </spPr>
          <cat>
            <numRef>
              <f>'P4 All criticality'!$A$6:$A$8</f>
            </numRef>
          </cat>
          <val>
            <numRef>
              <f>'P4 All criticality'!$C$6:$C$8</f>
            </numRef>
          </val>
        </ser>
        <ser>
          <idx val="2"/>
          <order val="2"/>
          <tx>
            <strRef>
              <f>'P4 All criticality'!D5</f>
            </strRef>
          </tx>
          <spPr>
            <a:solidFill xmlns:a="http://schemas.openxmlformats.org/drawingml/2006/main">
              <a:srgbClr val="E24B47"/>
            </a:solidFill>
            <a:ln xmlns:a="http://schemas.openxmlformats.org/drawingml/2006/main">
              <a:solidFill>
                <a:srgbClr val="FFFFFF"/>
              </a:solidFill>
              <a:prstDash val="solid"/>
            </a:ln>
          </spPr>
          <cat>
            <numRef>
              <f>'P4 All criticality'!$A$6:$A$8</f>
            </numRef>
          </cat>
          <val>
            <numRef>
              <f>'P4 All criticality'!$D$6:$D$8</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Mexico &amp; Colombia</a:t>
            </a:r>
          </a:p>
        </rich>
      </tx>
    </title>
    <plotArea>
      <barChart>
        <barDir val="col"/>
        <grouping val="stacked"/>
        <ser>
          <idx val="0"/>
          <order val="0"/>
          <tx>
            <strRef>
              <f>'P4 All criticality'!B21</f>
            </strRef>
          </tx>
          <spPr>
            <a:solidFill xmlns:a="http://schemas.openxmlformats.org/drawingml/2006/main">
              <a:srgbClr val="1FA276"/>
            </a:solidFill>
            <a:ln xmlns:a="http://schemas.openxmlformats.org/drawingml/2006/main">
              <a:solidFill>
                <a:srgbClr val="FFFFFF"/>
              </a:solidFill>
              <a:prstDash val="solid"/>
            </a:ln>
          </spPr>
          <cat>
            <numRef>
              <f>'P4 All criticality'!$A$22:$A$24</f>
            </numRef>
          </cat>
          <val>
            <numRef>
              <f>'P4 All criticality'!$B$22:$B$24</f>
            </numRef>
          </val>
        </ser>
        <ser>
          <idx val="1"/>
          <order val="1"/>
          <tx>
            <strRef>
              <f>'P4 All criticality'!C21</f>
            </strRef>
          </tx>
          <spPr>
            <a:solidFill xmlns:a="http://schemas.openxmlformats.org/drawingml/2006/main">
              <a:srgbClr val="F0A02C"/>
            </a:solidFill>
            <a:ln xmlns:a="http://schemas.openxmlformats.org/drawingml/2006/main">
              <a:solidFill>
                <a:srgbClr val="FFFFFF"/>
              </a:solidFill>
              <a:prstDash val="solid"/>
            </a:ln>
          </spPr>
          <cat>
            <numRef>
              <f>'P4 All criticality'!$A$22:$A$24</f>
            </numRef>
          </cat>
          <val>
            <numRef>
              <f>'P4 All criticality'!$C$22:$C$24</f>
            </numRef>
          </val>
        </ser>
        <ser>
          <idx val="2"/>
          <order val="2"/>
          <tx>
            <strRef>
              <f>'P4 All criticality'!D21</f>
            </strRef>
          </tx>
          <spPr>
            <a:solidFill xmlns:a="http://schemas.openxmlformats.org/drawingml/2006/main">
              <a:srgbClr val="E24B47"/>
            </a:solidFill>
            <a:ln xmlns:a="http://schemas.openxmlformats.org/drawingml/2006/main">
              <a:solidFill>
                <a:srgbClr val="FFFFFF"/>
              </a:solidFill>
              <a:prstDash val="solid"/>
            </a:ln>
          </spPr>
          <cat>
            <numRef>
              <f>'P4 All criticality'!$A$22:$A$24</f>
            </numRef>
          </cat>
          <val>
            <numRef>
              <f>'P4 All criticality'!$D$22:$D$24</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France</a:t>
            </a:r>
          </a:p>
        </rich>
      </tx>
    </title>
    <plotArea>
      <barChart>
        <barDir val="col"/>
        <grouping val="stacked"/>
        <ser>
          <idx val="0"/>
          <order val="0"/>
          <tx>
            <strRef>
              <f>'P4 All criticality'!B37</f>
            </strRef>
          </tx>
          <spPr>
            <a:solidFill xmlns:a="http://schemas.openxmlformats.org/drawingml/2006/main">
              <a:srgbClr val="1FA276"/>
            </a:solidFill>
            <a:ln xmlns:a="http://schemas.openxmlformats.org/drawingml/2006/main">
              <a:solidFill>
                <a:srgbClr val="FFFFFF"/>
              </a:solidFill>
              <a:prstDash val="solid"/>
            </a:ln>
          </spPr>
          <cat>
            <numRef>
              <f>'P4 All criticality'!$A$38:$A$40</f>
            </numRef>
          </cat>
          <val>
            <numRef>
              <f>'P4 All criticality'!$B$38:$B$40</f>
            </numRef>
          </val>
        </ser>
        <ser>
          <idx val="1"/>
          <order val="1"/>
          <tx>
            <strRef>
              <f>'P4 All criticality'!C37</f>
            </strRef>
          </tx>
          <spPr>
            <a:solidFill xmlns:a="http://schemas.openxmlformats.org/drawingml/2006/main">
              <a:srgbClr val="F0A02C"/>
            </a:solidFill>
            <a:ln xmlns:a="http://schemas.openxmlformats.org/drawingml/2006/main">
              <a:solidFill>
                <a:srgbClr val="FFFFFF"/>
              </a:solidFill>
              <a:prstDash val="solid"/>
            </a:ln>
          </spPr>
          <cat>
            <numRef>
              <f>'P4 All criticality'!$A$38:$A$40</f>
            </numRef>
          </cat>
          <val>
            <numRef>
              <f>'P4 All criticality'!$C$38:$C$40</f>
            </numRef>
          </val>
        </ser>
        <ser>
          <idx val="2"/>
          <order val="2"/>
          <tx>
            <strRef>
              <f>'P4 All criticality'!D37</f>
            </strRef>
          </tx>
          <spPr>
            <a:solidFill xmlns:a="http://schemas.openxmlformats.org/drawingml/2006/main">
              <a:srgbClr val="E24B47"/>
            </a:solidFill>
            <a:ln xmlns:a="http://schemas.openxmlformats.org/drawingml/2006/main">
              <a:solidFill>
                <a:srgbClr val="FFFFFF"/>
              </a:solidFill>
              <a:prstDash val="solid"/>
            </a:ln>
          </spPr>
          <cat>
            <numRef>
              <f>'P4 All criticality'!$A$38:$A$40</f>
            </numRef>
          </cat>
          <val>
            <numRef>
              <f>'P4 All criticality'!$D$38:$D$40</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Greece &amp; Italy</a:t>
            </a:r>
          </a:p>
        </rich>
      </tx>
    </title>
    <plotArea>
      <barChart>
        <barDir val="col"/>
        <grouping val="stacked"/>
        <ser>
          <idx val="0"/>
          <order val="0"/>
          <tx>
            <strRef>
              <f>'P4 All criticality'!B53</f>
            </strRef>
          </tx>
          <spPr>
            <a:solidFill xmlns:a="http://schemas.openxmlformats.org/drawingml/2006/main">
              <a:srgbClr val="1FA276"/>
            </a:solidFill>
            <a:ln xmlns:a="http://schemas.openxmlformats.org/drawingml/2006/main">
              <a:solidFill>
                <a:srgbClr val="FFFFFF"/>
              </a:solidFill>
              <a:prstDash val="solid"/>
            </a:ln>
          </spPr>
          <cat>
            <numRef>
              <f>'P4 All criticality'!$A$54:$A$56</f>
            </numRef>
          </cat>
          <val>
            <numRef>
              <f>'P4 All criticality'!$B$54:$B$56</f>
            </numRef>
          </val>
        </ser>
        <ser>
          <idx val="1"/>
          <order val="1"/>
          <tx>
            <strRef>
              <f>'P4 All criticality'!C53</f>
            </strRef>
          </tx>
          <spPr>
            <a:solidFill xmlns:a="http://schemas.openxmlformats.org/drawingml/2006/main">
              <a:srgbClr val="F0A02C"/>
            </a:solidFill>
            <a:ln xmlns:a="http://schemas.openxmlformats.org/drawingml/2006/main">
              <a:solidFill>
                <a:srgbClr val="FFFFFF"/>
              </a:solidFill>
              <a:prstDash val="solid"/>
            </a:ln>
          </spPr>
          <cat>
            <numRef>
              <f>'P4 All criticality'!$A$54:$A$56</f>
            </numRef>
          </cat>
          <val>
            <numRef>
              <f>'P4 All criticality'!$C$54:$C$56</f>
            </numRef>
          </val>
        </ser>
        <ser>
          <idx val="2"/>
          <order val="2"/>
          <tx>
            <strRef>
              <f>'P4 All criticality'!D53</f>
            </strRef>
          </tx>
          <spPr>
            <a:solidFill xmlns:a="http://schemas.openxmlformats.org/drawingml/2006/main">
              <a:srgbClr val="E24B47"/>
            </a:solidFill>
            <a:ln xmlns:a="http://schemas.openxmlformats.org/drawingml/2006/main">
              <a:solidFill>
                <a:srgbClr val="FFFFFF"/>
              </a:solidFill>
              <a:prstDash val="solid"/>
            </a:ln>
          </spPr>
          <cat>
            <numRef>
              <f>'P4 All criticality'!$A$54:$A$56</f>
            </numRef>
          </cat>
          <val>
            <numRef>
              <f>'P4 All criticality'!$D$54:$D$56</f>
            </numRef>
          </val>
        </ser>
        <dLbls>
          <numFmt formatCode="0;-0;;@"/>
          <showLegendKey val="0"/>
          <showVal val="1"/>
          <showCatName val="0"/>
          <showSerName val="0"/>
          <showPercent val="0"/>
          <showLeaderLines val="0"/>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Requirements</a:t>
                </a:r>
              </a:p>
            </rich>
          </tx>
        </title>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chart" Target="/xl/charts/chart6.xml" Id="rId4"/><Relationship Type="http://schemas.openxmlformats.org/officeDocument/2006/relationships/chart" Target="/xl/charts/chart7.xml" Id="rId5"/><Relationship Type="http://schemas.openxmlformats.org/officeDocument/2006/relationships/chart" Target="/xl/charts/chart8.xml" Id="rId6"/><Relationship Type="http://schemas.openxmlformats.org/officeDocument/2006/relationships/chart" Target="/xl/charts/chart9.xml" Id="rId7"/><Relationship Type="http://schemas.openxmlformats.org/officeDocument/2006/relationships/chart" Target="/xl/charts/chart10.xml" Id="rId8"/><Relationship Type="http://schemas.openxmlformats.org/officeDocument/2006/relationships/chart" Target="/xl/charts/chart11.xml" Id="rId9"/><Relationship Type="http://schemas.openxmlformats.org/officeDocument/2006/relationships/chart" Target="/xl/charts/chart12.xml" Id="rId10"/><Relationship Type="http://schemas.openxmlformats.org/officeDocument/2006/relationships/chart" Target="/xl/charts/chart13.xml" Id="rId11"/><Relationship Type="http://schemas.openxmlformats.org/officeDocument/2006/relationships/chart" Target="/xl/charts/chart14.xml" Id="rId12"/><Relationship Type="http://schemas.openxmlformats.org/officeDocument/2006/relationships/chart" Target="/xl/charts/chart15.xml" Id="rId13"/><Relationship Type="http://schemas.openxmlformats.org/officeDocument/2006/relationships/chart" Target="/xl/charts/chart16.xml" Id="rId14"/><Relationship Type="http://schemas.openxmlformats.org/officeDocument/2006/relationships/chart" Target="/xl/charts/chart17.xml" Id="rId15"/><Relationship Type="http://schemas.openxmlformats.org/officeDocument/2006/relationships/chart" Target="/xl/charts/chart18.xml" Id="rId16"/><Relationship Type="http://schemas.openxmlformats.org/officeDocument/2006/relationships/chart" Target="/xl/charts/chart19.xml" Id="rId17"/><Relationship Type="http://schemas.openxmlformats.org/officeDocument/2006/relationships/chart" Target="/xl/charts/chart20.xml" Id="rId18"/><Relationship Type="http://schemas.openxmlformats.org/officeDocument/2006/relationships/chart" Target="/xl/charts/chart21.xml" Id="rId19"/><Relationship Type="http://schemas.openxmlformats.org/officeDocument/2006/relationships/chart" Target="/xl/charts/chart22.xml" Id="rId20"/><Relationship Type="http://schemas.openxmlformats.org/officeDocument/2006/relationships/chart" Target="/xl/charts/chart23.xml" Id="rId21"/><Relationship Type="http://schemas.openxmlformats.org/officeDocument/2006/relationships/chart" Target="/xl/charts/chart24.xml" Id="rId22"/><Relationship Type="http://schemas.openxmlformats.org/officeDocument/2006/relationships/chart" Target="/xl/charts/chart25.xml" Id="rId23"/></Relationships>
</file>

<file path=xl/drawings/_rels/drawing4.xml.rels><Relationships xmlns="http://schemas.openxmlformats.org/package/2006/relationships"><Relationship Type="http://schemas.openxmlformats.org/officeDocument/2006/relationships/chart" Target="/xl/charts/chart26.xml" Id="rId1"/></Relationships>
</file>

<file path=xl/drawings/_rels/drawing5.xml.rels><Relationships xmlns="http://schemas.openxmlformats.org/package/2006/relationships"><Relationship Type="http://schemas.openxmlformats.org/officeDocument/2006/relationships/chart" Target="/xl/charts/chart27.xml" Id="rId1"/><Relationship Type="http://schemas.openxmlformats.org/officeDocument/2006/relationships/chart" Target="/xl/charts/chart28.xml" Id="rId2"/><Relationship Type="http://schemas.openxmlformats.org/officeDocument/2006/relationships/chart" Target="/xl/charts/chart29.xml" Id="rId3"/><Relationship Type="http://schemas.openxmlformats.org/officeDocument/2006/relationships/chart" Target="/xl/charts/chart30.xml" Id="rId4"/><Relationship Type="http://schemas.openxmlformats.org/officeDocument/2006/relationships/chart" Target="/xl/charts/chart31.xml" Id="rId5"/><Relationship Type="http://schemas.openxmlformats.org/officeDocument/2006/relationships/chart" Target="/xl/charts/chart32.xml" Id="rId6"/><Relationship Type="http://schemas.openxmlformats.org/officeDocument/2006/relationships/chart" Target="/xl/charts/chart33.xml" Id="rId7"/><Relationship Type="http://schemas.openxmlformats.org/officeDocument/2006/relationships/chart" Target="/xl/charts/chart34.xml" Id="rId8"/><Relationship Type="http://schemas.openxmlformats.org/officeDocument/2006/relationships/chart" Target="/xl/charts/chart35.xml" Id="rId9"/><Relationship Type="http://schemas.openxmlformats.org/officeDocument/2006/relationships/chart" Target="/xl/charts/chart36.xml" Id="rId10"/><Relationship Type="http://schemas.openxmlformats.org/officeDocument/2006/relationships/chart" Target="/xl/charts/chart37.xml" Id="rId11"/><Relationship Type="http://schemas.openxmlformats.org/officeDocument/2006/relationships/chart" Target="/xl/charts/chart38.xml" Id="rId12"/><Relationship Type="http://schemas.openxmlformats.org/officeDocument/2006/relationships/chart" Target="/xl/charts/chart39.xml" Id="rId13"/><Relationship Type="http://schemas.openxmlformats.org/officeDocument/2006/relationships/chart" Target="/xl/charts/chart40.xml" Id="rId14"/><Relationship Type="http://schemas.openxmlformats.org/officeDocument/2006/relationships/chart" Target="/xl/charts/chart41.xml" Id="rId15"/><Relationship Type="http://schemas.openxmlformats.org/officeDocument/2006/relationships/chart" Target="/xl/charts/chart42.xml" Id="rId16"/><Relationship Type="http://schemas.openxmlformats.org/officeDocument/2006/relationships/chart" Target="/xl/charts/chart43.xml" Id="rId17"/><Relationship Type="http://schemas.openxmlformats.org/officeDocument/2006/relationships/chart" Target="/xl/charts/chart44.xml" Id="rId18"/><Relationship Type="http://schemas.openxmlformats.org/officeDocument/2006/relationships/chart" Target="/xl/charts/chart45.xml" Id="rId19"/><Relationship Type="http://schemas.openxmlformats.org/officeDocument/2006/relationships/chart" Target="/xl/charts/chart46.xml" Id="rId20"/><Relationship Type="http://schemas.openxmlformats.org/officeDocument/2006/relationships/chart" Target="/xl/charts/chart47.xml" Id="rId21"/><Relationship Type="http://schemas.openxmlformats.org/officeDocument/2006/relationships/chart" Target="/xl/charts/chart48.xml" Id="rId22"/><Relationship Type="http://schemas.openxmlformats.org/officeDocument/2006/relationships/chart" Target="/xl/charts/chart49.xml" Id="rId23"/></Relationships>
</file>

<file path=xl/drawings/_rels/drawing6.xml.rels><Relationships xmlns="http://schemas.openxmlformats.org/package/2006/relationships"><Relationship Type="http://schemas.openxmlformats.org/officeDocument/2006/relationships/chart" Target="/xl/charts/chart50.xml" Id="rId1"/></Relationships>
</file>

<file path=xl/drawings/_rels/drawing7.xml.rels><Relationships xmlns="http://schemas.openxmlformats.org/package/2006/relationships"><Relationship Type="http://schemas.openxmlformats.org/officeDocument/2006/relationships/chart" Target="/xl/charts/chart51.xml" Id="rId1"/><Relationship Type="http://schemas.openxmlformats.org/officeDocument/2006/relationships/chart" Target="/xl/charts/chart52.xml" Id="rId2"/><Relationship Type="http://schemas.openxmlformats.org/officeDocument/2006/relationships/chart" Target="/xl/charts/chart53.xml" Id="rId3"/><Relationship Type="http://schemas.openxmlformats.org/officeDocument/2006/relationships/chart" Target="/xl/charts/chart54.xml" Id="rId4"/><Relationship Type="http://schemas.openxmlformats.org/officeDocument/2006/relationships/chart" Target="/xl/charts/chart55.xml" Id="rId5"/><Relationship Type="http://schemas.openxmlformats.org/officeDocument/2006/relationships/chart" Target="/xl/charts/chart56.xml" Id="rId6"/><Relationship Type="http://schemas.openxmlformats.org/officeDocument/2006/relationships/chart" Target="/xl/charts/chart57.xml" Id="rId7"/><Relationship Type="http://schemas.openxmlformats.org/officeDocument/2006/relationships/chart" Target="/xl/charts/chart58.xml" Id="rId8"/><Relationship Type="http://schemas.openxmlformats.org/officeDocument/2006/relationships/chart" Target="/xl/charts/chart59.xml" Id="rId9"/><Relationship Type="http://schemas.openxmlformats.org/officeDocument/2006/relationships/chart" Target="/xl/charts/chart60.xml" Id="rId10"/><Relationship Type="http://schemas.openxmlformats.org/officeDocument/2006/relationships/chart" Target="/xl/charts/chart61.xml" Id="rId11"/></Relationships>
</file>

<file path=xl/drawings/_rels/drawing8.xml.rels><Relationships xmlns="http://schemas.openxmlformats.org/package/2006/relationships"><Relationship Type="http://schemas.openxmlformats.org/officeDocument/2006/relationships/chart" Target="/xl/charts/chart62.xml" Id="rId1"/></Relationships>
</file>

<file path=xl/drawings/_rels/drawing9.xml.rels><Relationships xmlns="http://schemas.openxmlformats.org/package/2006/relationships"><Relationship Type="http://schemas.openxmlformats.org/officeDocument/2006/relationships/chart" Target="/xl/charts/chart63.xml" Id="rId1"/></Relationships>
</file>

<file path=xl/drawings/_rels/drawing10.xml.rels><Relationships xmlns="http://schemas.openxmlformats.org/package/2006/relationships"><Relationship Type="http://schemas.openxmlformats.org/officeDocument/2006/relationships/chart" Target="/xl/charts/chart64.xml" Id="rId1"/><Relationship Type="http://schemas.openxmlformats.org/officeDocument/2006/relationships/chart" Target="/xl/charts/chart65.xml" Id="rId2"/><Relationship Type="http://schemas.openxmlformats.org/officeDocument/2006/relationships/chart" Target="/xl/charts/chart66.xml" Id="rId3"/><Relationship Type="http://schemas.openxmlformats.org/officeDocument/2006/relationships/chart" Target="/xl/charts/chart67.xml" Id="rId4"/></Relationships>
</file>

<file path=xl/drawings/_rels/drawing11.xml.rels><Relationships xmlns="http://schemas.openxmlformats.org/package/2006/relationships"><Relationship Type="http://schemas.openxmlformats.org/officeDocument/2006/relationships/chart" Target="/xl/charts/chart68.xml" Id="rId1"/><Relationship Type="http://schemas.openxmlformats.org/officeDocument/2006/relationships/chart" Target="/xl/charts/chart69.xml" Id="rId2"/></Relationships>
</file>

<file path=xl/drawings/_rels/drawing12.xml.rels><Relationships xmlns="http://schemas.openxmlformats.org/package/2006/relationships"><Relationship Type="http://schemas.openxmlformats.org/officeDocument/2006/relationships/chart" Target="/xl/charts/chart70.xml" Id="rId1"/><Relationship Type="http://schemas.openxmlformats.org/officeDocument/2006/relationships/chart" Target="/xl/charts/chart71.xml" Id="rId2"/><Relationship Type="http://schemas.openxmlformats.org/officeDocument/2006/relationships/chart" Target="/xl/charts/chart72.xml" Id="rId3"/><Relationship Type="http://schemas.openxmlformats.org/officeDocument/2006/relationships/chart" Target="/xl/charts/chart73.xml" Id="rId4"/></Relationships>
</file>

<file path=xl/drawings/drawing1.xml><?xml version="1.0" encoding="utf-8"?>
<wsDr xmlns="http://schemas.openxmlformats.org/drawingml/2006/spreadsheetDrawing">
  <oneCellAnchor>
    <from>
      <col>12</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9</col>
      <colOff>0</colOff>
      <row>3</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6</col>
      <colOff>0</colOff>
      <row>3</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19</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6</col>
      <colOff>0</colOff>
      <row>35</row>
      <rowOff>0</rowOff>
    </from>
    <ext cx="540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16</col>
      <colOff>0</colOff>
      <row>51</row>
      <rowOff>0</rowOff>
    </from>
    <ext cx="540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6</col>
      <colOff>0</colOff>
      <row>67</row>
      <rowOff>0</rowOff>
    </from>
    <ext cx="5400000" cy="27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16</col>
      <colOff>0</colOff>
      <row>83</row>
      <rowOff>0</rowOff>
    </from>
    <ext cx="5400000" cy="27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6</col>
      <colOff>0</colOff>
      <row>99</row>
      <rowOff>0</rowOff>
    </from>
    <ext cx="5400000" cy="27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16</col>
      <colOff>0</colOff>
      <row>115</row>
      <rowOff>0</rowOff>
    </from>
    <ext cx="5400000" cy="270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6</col>
      <colOff>0</colOff>
      <row>131</row>
      <rowOff>0</rowOff>
    </from>
    <ext cx="5400000" cy="270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16</col>
      <colOff>0</colOff>
      <row>147</row>
      <rowOff>0</rowOff>
    </from>
    <ext cx="5400000" cy="270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6</col>
      <colOff>0</colOff>
      <row>163</row>
      <rowOff>0</rowOff>
    </from>
    <ext cx="5400000" cy="270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16</col>
      <colOff>0</colOff>
      <row>179</row>
      <rowOff>0</rowOff>
    </from>
    <ext cx="5400000" cy="270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6</col>
      <colOff>0</colOff>
      <row>195</row>
      <rowOff>0</rowOff>
    </from>
    <ext cx="5400000" cy="270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16</col>
      <colOff>0</colOff>
      <row>211</row>
      <rowOff>0</rowOff>
    </from>
    <ext cx="5400000" cy="270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6</col>
      <colOff>0</colOff>
      <row>227</row>
      <rowOff>0</rowOff>
    </from>
    <ext cx="5400000" cy="270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16</col>
      <colOff>0</colOff>
      <row>243</row>
      <rowOff>0</rowOff>
    </from>
    <ext cx="5400000" cy="270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6</col>
      <colOff>0</colOff>
      <row>259</row>
      <rowOff>0</rowOff>
    </from>
    <ext cx="5400000" cy="270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16</col>
      <colOff>0</colOff>
      <row>275</row>
      <rowOff>0</rowOff>
    </from>
    <ext cx="5400000" cy="270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6</col>
      <colOff>0</colOff>
      <row>291</row>
      <rowOff>0</rowOff>
    </from>
    <ext cx="5400000" cy="270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16</col>
      <colOff>0</colOff>
      <row>307</row>
      <rowOff>0</rowOff>
    </from>
    <ext cx="5400000" cy="270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6</col>
      <colOff>0</colOff>
      <row>323</row>
      <rowOff>0</rowOff>
    </from>
    <ext cx="5400000" cy="270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16</col>
      <colOff>0</colOff>
      <row>339</row>
      <rowOff>0</rowOff>
    </from>
    <ext cx="5400000" cy="270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6</col>
      <colOff>0</colOff>
      <row>355</row>
      <rowOff>0</rowOff>
    </from>
    <ext cx="5400000" cy="270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wsDr>
</file>

<file path=xl/drawings/drawing4.xml><?xml version="1.0" encoding="utf-8"?>
<wsDr xmlns="http://schemas.openxmlformats.org/drawingml/2006/spreadsheetDrawing">
  <oneCellAnchor>
    <from>
      <col>11</col>
      <colOff>0</colOff>
      <row>3</row>
      <rowOff>0</rowOff>
    </from>
    <ext cx="7920000" cy="54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9</col>
      <colOff>0</colOff>
      <row>3</row>
      <rowOff>0</rowOff>
    </from>
    <ext cx="7200000" cy="3492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24</row>
      <rowOff>0</rowOff>
    </from>
    <ext cx="7200000" cy="3294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44</row>
      <rowOff>0</rowOff>
    </from>
    <ext cx="7200000" cy="30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63</row>
      <rowOff>0</rowOff>
    </from>
    <ext cx="7200000" cy="309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82</row>
      <rowOff>0</rowOff>
    </from>
    <ext cx="7200000" cy="2898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100</row>
      <rowOff>0</rowOff>
    </from>
    <ext cx="7200000" cy="2898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118</row>
      <rowOff>0</rowOff>
    </from>
    <ext cx="7200000" cy="21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132</row>
      <rowOff>0</rowOff>
    </from>
    <ext cx="7200000" cy="216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146</row>
      <rowOff>0</rowOff>
    </from>
    <ext cx="7200000" cy="2304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160</row>
      <rowOff>0</rowOff>
    </from>
    <ext cx="7200000" cy="4878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3294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209</row>
      <rowOff>0</rowOff>
    </from>
    <ext cx="7200000" cy="2502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224</row>
      <rowOff>0</rowOff>
    </from>
    <ext cx="7200000" cy="2898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242</row>
      <rowOff>0</rowOff>
    </from>
    <ext cx="7200000" cy="2898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9</col>
      <colOff>0</colOff>
      <row>260</row>
      <rowOff>0</rowOff>
    </from>
    <ext cx="7200000" cy="2898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278</row>
      <rowOff>0</rowOff>
    </from>
    <ext cx="7200000" cy="216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9</col>
      <colOff>0</colOff>
      <row>292</row>
      <rowOff>0</rowOff>
    </from>
    <ext cx="7200000" cy="216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306</row>
      <rowOff>0</rowOff>
    </from>
    <ext cx="7200000" cy="2898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9</col>
      <colOff>0</colOff>
      <row>324</row>
      <rowOff>0</rowOff>
    </from>
    <ext cx="7200000" cy="216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338</row>
      <rowOff>0</rowOff>
    </from>
    <ext cx="7200000" cy="216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9</col>
      <colOff>0</colOff>
      <row>352</row>
      <rowOff>0</rowOff>
    </from>
    <ext cx="7200000" cy="3492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373</row>
      <rowOff>0</rowOff>
    </from>
    <ext cx="7200000" cy="2304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9</col>
      <colOff>0</colOff>
      <row>387</row>
      <rowOff>0</rowOff>
    </from>
    <ext cx="7200000" cy="2898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wsDr>
</file>

<file path=xl/drawings/drawing6.xml><?xml version="1.0" encoding="utf-8"?>
<wsDr xmlns="http://schemas.openxmlformats.org/drawingml/2006/spreadsheetDrawing">
  <oneCellAnchor>
    <from>
      <col>8</col>
      <colOff>0</colOff>
      <row>3</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6</col>
      <colOff>0</colOff>
      <row>3</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19</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6</col>
      <colOff>0</colOff>
      <row>35</row>
      <rowOff>0</rowOff>
    </from>
    <ext cx="540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16</col>
      <colOff>0</colOff>
      <row>51</row>
      <rowOff>0</rowOff>
    </from>
    <ext cx="540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6</col>
      <colOff>0</colOff>
      <row>67</row>
      <rowOff>0</rowOff>
    </from>
    <ext cx="5400000" cy="27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16</col>
      <colOff>0</colOff>
      <row>83</row>
      <rowOff>0</rowOff>
    </from>
    <ext cx="5400000" cy="27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6</col>
      <colOff>0</colOff>
      <row>99</row>
      <rowOff>0</rowOff>
    </from>
    <ext cx="5400000" cy="27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16</col>
      <colOff>0</colOff>
      <row>115</row>
      <rowOff>0</rowOff>
    </from>
    <ext cx="5400000" cy="270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6</col>
      <colOff>0</colOff>
      <row>131</row>
      <rowOff>0</rowOff>
    </from>
    <ext cx="5400000" cy="270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16</col>
      <colOff>0</colOff>
      <row>147</row>
      <rowOff>0</rowOff>
    </from>
    <ext cx="5400000" cy="270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6</col>
      <colOff>0</colOff>
      <row>163</row>
      <rowOff>0</rowOff>
    </from>
    <ext cx="5400000" cy="270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wsDr>
</file>

<file path=xl/drawings/drawing8.xml><?xml version="1.0" encoding="utf-8"?>
<wsDr xmlns="http://schemas.openxmlformats.org/drawingml/2006/spreadsheetDrawing">
  <oneCellAnchor>
    <from>
      <col>10</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10</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6</col>
      <colOff>0</colOff>
      <row>3</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20</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6</col>
      <colOff>0</colOff>
      <row>37</row>
      <rowOff>0</rowOff>
    </from>
    <ext cx="540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54</row>
      <rowOff>0</rowOff>
    </from>
    <ext cx="540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11.xml><?xml version="1.0" encoding="utf-8"?>
<wsDr xmlns="http://schemas.openxmlformats.org/drawingml/2006/spreadsheetDrawing">
  <oneCellAnchor>
    <from>
      <col>10</col>
      <colOff>0</colOff>
      <row>3</row>
      <rowOff>0</rowOff>
    </from>
    <ext cx="792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11</row>
      <rowOff>0</rowOff>
    </from>
    <ext cx="79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2.xml><?xml version="1.0" encoding="utf-8"?>
<wsDr xmlns="http://schemas.openxmlformats.org/drawingml/2006/spreadsheetDrawing">
  <oneCellAnchor>
    <from>
      <col>6</col>
      <colOff>0</colOff>
      <row>3</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19</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6</col>
      <colOff>0</colOff>
      <row>35</row>
      <rowOff>0</rowOff>
    </from>
    <ext cx="540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16</col>
      <colOff>0</colOff>
      <row>51</row>
      <rowOff>0</rowOff>
    </from>
    <ext cx="540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_rels/sheet9.xml.rels><Relationships xmlns="http://schemas.openxmlformats.org/package/2006/relationships"><Relationship Type="http://schemas.openxmlformats.org/officeDocument/2006/relationships/drawing" Target="/xl/drawings/drawing6.xml" Id="rId1"/></Relationships>
</file>

<file path=xl/worksheets/_rels/sheet10.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4.xml.rels><Relationships xmlns="http://schemas.openxmlformats.org/package/2006/relationships"><Relationship Type="http://schemas.openxmlformats.org/officeDocument/2006/relationships/drawing" Target="/xl/drawings/drawing9.xml" Id="rId1"/></Relationships>
</file>

<file path=xl/worksheets/_rels/sheet15.xml.rels><Relationships xmlns="http://schemas.openxmlformats.org/package/2006/relationships"><Relationship Type="http://schemas.openxmlformats.org/officeDocument/2006/relationships/drawing" Target="/xl/drawings/drawing10.xml" Id="rId1"/></Relationships>
</file>

<file path=xl/worksheets/_rels/sheet16.xml.rels><Relationships xmlns="http://schemas.openxmlformats.org/package/2006/relationships"><Relationship Type="http://schemas.openxmlformats.org/officeDocument/2006/relationships/drawing" Target="/xl/drawings/drawing11.xml" Id="rId1"/></Relationships>
</file>

<file path=xl/worksheets/_rels/sheet17.xml.rels><Relationships xmlns="http://schemas.openxmlformats.org/package/2006/relationships"><Relationship Type="http://schemas.openxmlformats.org/officeDocument/2006/relationships/drawing" Target="/xl/drawings/drawing12.xml" Id="rId1"/></Relationships>
</file>

<file path=xl/worksheets/sheet1.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30" customWidth="1" min="1" max="1"/>
    <col width="120" customWidth="1" min="2" max="2"/>
  </cols>
  <sheetData>
    <row r="1">
      <c r="A1" s="1" t="inlineStr">
        <is>
          <t>Amara NZero · Data behind every dashboard chart</t>
        </is>
      </c>
    </row>
    <row r="2">
      <c r="A2" s="2" t="inlineStr">
        <is>
          <t>Each sheet = one chart: the table it plots (totals as SUM formulas you can check) and the same chart in Excel.</t>
        </is>
      </c>
    </row>
    <row r="4">
      <c r="A4" s="3" t="inlineStr">
        <is>
          <t>Sheet</t>
        </is>
      </c>
      <c r="B4" s="3" t="inlineStr">
        <is>
          <t>Chart / content</t>
        </is>
      </c>
    </row>
    <row r="5">
      <c r="A5" s="4" t="inlineStr">
        <is>
          <t>P1 Country x type</t>
        </is>
      </c>
      <c r="B5" s="5" t="inlineStr">
        <is>
          <t>Page 1 · unique legal requirements by country and type of business (treemap)</t>
        </is>
      </c>
    </row>
    <row r="6">
      <c r="A6" s="4" t="inlineStr">
        <is>
          <t>P1 Requirements per site</t>
        </is>
      </c>
      <c r="B6" s="5" t="inlineStr">
        <is>
          <t>Page 1 · unique legal requirements per site (and checklist rows)</t>
        </is>
      </c>
    </row>
    <row r="7">
      <c r="A7" s="4" t="inlineStr">
        <is>
          <t>P1 KPIs</t>
        </is>
      </c>
      <c r="B7" s="5" t="inlineStr">
        <is>
          <t>Page 1 · headline numbers</t>
        </is>
      </c>
    </row>
    <row r="8">
      <c r="A8" s="4" t="inlineStr">
        <is>
          <t>P2 Site criticality</t>
        </is>
      </c>
      <c r="B8" s="5" t="inlineStr">
        <is>
          <t>Page 2 · 'Compliance status by criticality' for every site (deck figures, or checklist where the deck has no site chart)</t>
        </is>
      </c>
    </row>
    <row r="9">
      <c r="A9" s="4" t="inlineStr">
        <is>
          <t>P2 Site status (checklist)</t>
        </is>
      </c>
      <c r="B9" s="5" t="inlineStr">
        <is>
          <t>Page 2 · overall status of all checklist items per site (donut) + KPIs</t>
        </is>
      </c>
    </row>
    <row r="10">
      <c r="A10" s="4" t="inlineStr">
        <is>
          <t>P2 Crit x status (checklist)</t>
        </is>
      </c>
      <c r="B10" s="5" t="inlineStr">
        <is>
          <t>Page 2 · checklist records by criticality and status per site (table under the donut)</t>
        </is>
      </c>
    </row>
    <row r="11">
      <c r="A11" s="4" t="inlineStr">
        <is>
          <t>P2 Key activity (checklist)</t>
        </is>
      </c>
      <c r="B11" s="5" t="inlineStr">
        <is>
          <t>Page 2 · compliance by key activity per site</t>
        </is>
      </c>
    </row>
    <row r="12">
      <c r="A12" s="4" t="inlineStr">
        <is>
          <t>P2 Report dots</t>
        </is>
      </c>
      <c r="B12" s="5" t="inlineStr">
        <is>
          <t>Page 2 · site-visit report compliance dots per site</t>
        </is>
      </c>
    </row>
    <row r="13">
      <c r="A13" s="4" t="inlineStr">
        <is>
          <t>P3 Cluster business</t>
        </is>
      </c>
      <c r="B13" s="5" t="inlineStr">
        <is>
          <t>Page 3 · compliance status per criticality of business, per cluster (deck)</t>
        </is>
      </c>
    </row>
    <row r="14">
      <c r="A14" s="4" t="inlineStr">
        <is>
          <t>P3 Cluster KPIs</t>
        </is>
      </c>
      <c r="B14" s="5" t="inlineStr">
        <is>
          <t>Page 3 · cluster KPI tiles</t>
        </is>
      </c>
    </row>
    <row r="15">
      <c r="A15" s="4" t="inlineStr">
        <is>
          <t>P3 Cluster mix</t>
        </is>
      </c>
      <c r="B15" s="5" t="inlineStr">
        <is>
          <t>Page 3 · compliance mix by type of business (%)</t>
        </is>
      </c>
    </row>
    <row r="16">
      <c r="A16" s="4" t="inlineStr">
        <is>
          <t>P3 Site heatmap</t>
        </is>
      </c>
      <c r="B16" s="5" t="inlineStr">
        <is>
          <t>Page 3 · share compliant by site and criticality</t>
        </is>
      </c>
    </row>
    <row r="17">
      <c r="A17" s="4" t="inlineStr">
        <is>
          <t>P4 Global high</t>
        </is>
      </c>
      <c r="B17" s="5" t="inlineStr">
        <is>
          <t>Page 4 · high criticality by type of business and cluster (deck)</t>
        </is>
      </c>
    </row>
    <row r="18">
      <c r="A18" s="4" t="inlineStr">
        <is>
          <t>P4 High by cluster</t>
        </is>
      </c>
      <c r="B18" s="5" t="inlineStr">
        <is>
          <t>Page 4 · one chart per cluster, high criticality</t>
        </is>
      </c>
    </row>
    <row r="19">
      <c r="A19" s="4" t="inlineStr">
        <is>
          <t>P4 High mix</t>
        </is>
      </c>
      <c r="B19" s="5" t="inlineStr">
        <is>
          <t>Page 4 · high-criticality mix per cluster and per type of business (%)</t>
        </is>
      </c>
    </row>
    <row r="20">
      <c r="A20" s="4" t="inlineStr">
        <is>
          <t>P4 All criticality</t>
        </is>
      </c>
      <c r="B20" s="5" t="inlineStr">
        <is>
          <t>Page 4 · all criticality levels per cluster</t>
        </is>
      </c>
    </row>
    <row r="21">
      <c r="A21" s="4" t="inlineStr">
        <is>
          <t>P4 KPIs</t>
        </is>
      </c>
      <c r="B21" s="5" t="inlineStr">
        <is>
          <t>Page 4 · headline numbers</t>
        </is>
      </c>
    </row>
    <row r="22">
      <c r="A22" s="4" t="inlineStr">
        <is>
          <t>QA Deck vs checklist</t>
        </is>
      </c>
      <c r="B22" s="5" t="inlineStr">
        <is>
          <t>QA · deck chart figures compared with counts from the checklists</t>
        </is>
      </c>
    </row>
    <row r="23">
      <c r="A23" s="4" t="inlineStr">
        <is>
          <t>QA Deck internal</t>
        </is>
      </c>
      <c r="B23" s="5" t="inlineStr">
        <is>
          <t>QA · deck charts that do not equal the sum of their own site charts</t>
        </is>
      </c>
    </row>
    <row r="24">
      <c r="A24" s="4" t="inlineStr">
        <is>
          <t>QA Reconciliation</t>
        </is>
      </c>
      <c r="B24" s="5" t="inlineStr">
        <is>
          <t>QA · source Excel → dataset reconciliation and cross-checks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4" customWidth="1" min="1" max="1"/>
    <col width="10" customWidth="1" min="2" max="2"/>
    <col width="10" customWidth="1" min="3" max="3"/>
    <col width="10" customWidth="1" min="4" max="4"/>
    <col width="11" customWidth="1" min="5" max="5"/>
    <col width="10" customWidth="1" min="6" max="6"/>
    <col width="12" customWidth="1" min="7" max="7"/>
    <col width="14" customWidth="1" min="8" max="8"/>
    <col width="12" customWidth="1" min="9" max="9"/>
    <col width="12" customWidth="1" min="10" max="10"/>
  </cols>
  <sheetData>
    <row r="1">
      <c r="A1" s="1" t="inlineStr">
        <is>
          <t>Unique legal requirements by country and type of business (treemap)</t>
        </is>
      </c>
    </row>
    <row r="2">
      <c r="A2" s="2" t="inlineStr">
        <is>
          <t>Source: 23 site checklists (1,041 rows). One unique requirement = one legal obligation within a country; the same obligation at several sites (even when adapted to each region) or repeated on several rows counts once. 'Country total' counts a requirement shared by two types of business once.</t>
        </is>
      </c>
    </row>
    <row r="4">
      <c r="A4" s="3" t="inlineStr">
        <is>
          <t>Country</t>
        </is>
      </c>
      <c r="B4" s="3" t="inlineStr">
        <is>
          <t>Office</t>
        </is>
      </c>
      <c r="C4" s="3" t="inlineStr">
        <is>
          <t>EPC</t>
        </is>
      </c>
      <c r="D4" s="3" t="inlineStr">
        <is>
          <t>Factory</t>
        </is>
      </c>
      <c r="E4" s="3" t="inlineStr">
        <is>
          <t>Warehouse</t>
        </is>
      </c>
      <c r="F4" s="3" t="inlineStr">
        <is>
          <t>Services</t>
        </is>
      </c>
      <c r="G4" s="3" t="inlineStr">
        <is>
          <t>Sum of types</t>
        </is>
      </c>
      <c r="H4" s="3" t="inlineStr">
        <is>
          <t>Country total (unique)</t>
        </is>
      </c>
      <c r="I4" s="3" t="inlineStr">
        <is>
          <t>Shared by 2 types</t>
        </is>
      </c>
      <c r="J4" s="3" t="inlineStr">
        <is>
          <t>Checklist rows</t>
        </is>
      </c>
    </row>
    <row r="5">
      <c r="A5" s="4" t="inlineStr">
        <is>
          <t>Spain</t>
        </is>
      </c>
      <c r="B5" s="4" t="n">
        <v>31</v>
      </c>
      <c r="C5" s="4" t="n">
        <v>0</v>
      </c>
      <c r="D5" s="4" t="n">
        <v>81</v>
      </c>
      <c r="E5" s="4" t="n">
        <v>80</v>
      </c>
      <c r="F5" s="4" t="n">
        <v>11</v>
      </c>
      <c r="G5" s="4">
        <f>SUM(B5:F5)</f>
        <v/>
      </c>
      <c r="H5" s="4" t="n">
        <v>163</v>
      </c>
      <c r="I5" s="4">
        <f>G5-H5</f>
        <v/>
      </c>
      <c r="J5" s="4" t="n">
        <v>487</v>
      </c>
    </row>
    <row r="6">
      <c r="A6" s="4" t="inlineStr">
        <is>
          <t>Portugal</t>
        </is>
      </c>
      <c r="B6" s="4" t="n">
        <v>45</v>
      </c>
      <c r="C6" s="4" t="n">
        <v>0</v>
      </c>
      <c r="D6" s="4" t="n">
        <v>0</v>
      </c>
      <c r="E6" s="4" t="n">
        <v>0</v>
      </c>
      <c r="F6" s="4" t="n">
        <v>0</v>
      </c>
      <c r="G6" s="4">
        <f>SUM(B6:F6)</f>
        <v/>
      </c>
      <c r="H6" s="4" t="n">
        <v>45</v>
      </c>
      <c r="I6" s="4">
        <f>G6-H6</f>
        <v/>
      </c>
      <c r="J6" s="4" t="n">
        <v>45</v>
      </c>
    </row>
    <row r="7">
      <c r="A7" s="4" t="inlineStr">
        <is>
          <t>Mexico</t>
        </is>
      </c>
      <c r="B7" s="4" t="n">
        <v>47</v>
      </c>
      <c r="C7" s="4" t="n">
        <v>38</v>
      </c>
      <c r="D7" s="4" t="n">
        <v>0</v>
      </c>
      <c r="E7" s="4" t="n">
        <v>81</v>
      </c>
      <c r="F7" s="4" t="n">
        <v>55</v>
      </c>
      <c r="G7" s="4">
        <f>SUM(B7:F7)</f>
        <v/>
      </c>
      <c r="H7" s="4" t="n">
        <v>207</v>
      </c>
      <c r="I7" s="4">
        <f>G7-H7</f>
        <v/>
      </c>
      <c r="J7" s="4" t="n">
        <v>306</v>
      </c>
    </row>
    <row r="8">
      <c r="A8" s="4" t="inlineStr">
        <is>
          <t>Colombia</t>
        </is>
      </c>
      <c r="B8" s="4" t="n">
        <v>21</v>
      </c>
      <c r="C8" s="4" t="n">
        <v>49</v>
      </c>
      <c r="D8" s="4" t="n">
        <v>0</v>
      </c>
      <c r="E8" s="4" t="n">
        <v>0</v>
      </c>
      <c r="F8" s="4" t="n">
        <v>0</v>
      </c>
      <c r="G8" s="4">
        <f>SUM(B8:F8)</f>
        <v/>
      </c>
      <c r="H8" s="4" t="n">
        <v>70</v>
      </c>
      <c r="I8" s="4">
        <f>G8-H8</f>
        <v/>
      </c>
      <c r="J8" s="4" t="n">
        <v>70</v>
      </c>
    </row>
    <row r="9">
      <c r="A9" s="4" t="inlineStr">
        <is>
          <t>France</t>
        </is>
      </c>
      <c r="B9" s="4" t="n">
        <v>26</v>
      </c>
      <c r="C9" s="4" t="n">
        <v>23</v>
      </c>
      <c r="D9" s="4" t="n">
        <v>0</v>
      </c>
      <c r="E9" s="4" t="n">
        <v>0</v>
      </c>
      <c r="F9" s="4" t="n">
        <v>0</v>
      </c>
      <c r="G9" s="4">
        <f>SUM(B9:F9)</f>
        <v/>
      </c>
      <c r="H9" s="4" t="n">
        <v>49</v>
      </c>
      <c r="I9" s="4">
        <f>G9-H9</f>
        <v/>
      </c>
      <c r="J9" s="4" t="n">
        <v>61</v>
      </c>
    </row>
    <row r="10">
      <c r="A10" s="4" t="inlineStr">
        <is>
          <t>Greece</t>
        </is>
      </c>
      <c r="B10" s="4" t="n">
        <v>28</v>
      </c>
      <c r="C10" s="4" t="n">
        <v>0</v>
      </c>
      <c r="D10" s="4" t="n">
        <v>0</v>
      </c>
      <c r="E10" s="4" t="n">
        <v>0</v>
      </c>
      <c r="F10" s="4" t="n">
        <v>0</v>
      </c>
      <c r="G10" s="4">
        <f>SUM(B10:F10)</f>
        <v/>
      </c>
      <c r="H10" s="4" t="n">
        <v>28</v>
      </c>
      <c r="I10" s="4">
        <f>G10-H10</f>
        <v/>
      </c>
      <c r="J10" s="4" t="n">
        <v>28</v>
      </c>
    </row>
    <row r="11">
      <c r="A11" s="4" t="inlineStr">
        <is>
          <t>Italy</t>
        </is>
      </c>
      <c r="B11" s="4" t="n">
        <v>44</v>
      </c>
      <c r="C11" s="4" t="n">
        <v>0</v>
      </c>
      <c r="D11" s="4" t="n">
        <v>0</v>
      </c>
      <c r="E11" s="4" t="n">
        <v>0</v>
      </c>
      <c r="F11" s="4" t="n">
        <v>0</v>
      </c>
      <c r="G11" s="4">
        <f>SUM(B11:F11)</f>
        <v/>
      </c>
      <c r="H11" s="4" t="n">
        <v>44</v>
      </c>
      <c r="I11" s="4">
        <f>G11-H11</f>
        <v/>
      </c>
      <c r="J11" s="4" t="n">
        <v>44</v>
      </c>
    </row>
    <row r="12">
      <c r="A12" s="6" t="inlineStr">
        <is>
          <t>Total</t>
        </is>
      </c>
      <c r="B12" s="6">
        <f>SUM(B5:B11)</f>
        <v/>
      </c>
      <c r="C12" s="6">
        <f>SUM(C5:C11)</f>
        <v/>
      </c>
      <c r="D12" s="6">
        <f>SUM(D5:D11)</f>
        <v/>
      </c>
      <c r="E12" s="6">
        <f>SUM(E5:E11)</f>
        <v/>
      </c>
      <c r="F12" s="6">
        <f>SUM(F5:F11)</f>
        <v/>
      </c>
      <c r="G12" s="6">
        <f>SUM(G5:G11)</f>
        <v/>
      </c>
      <c r="H12" s="6">
        <f>SUM(H5:H11)</f>
        <v/>
      </c>
      <c r="I12" s="6">
        <f>SUM(I5:I11)</f>
        <v/>
      </c>
      <c r="J12" s="6">
        <f>SUM(J5:J11)</f>
        <v/>
      </c>
    </row>
    <row r="13">
      <c r="A13" s="2" t="inlineStr">
        <is>
          <t>Checks: country totals sum to 606 unique requirements (page 1 KPI and register rows); checklist rows sum to 1041.</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1" customWidth="1" min="1" max="1"/>
    <col width="9" customWidth="1" min="2" max="2"/>
    <col width="38" customWidth="1" min="3" max="3"/>
    <col width="14" customWidth="1" min="4" max="4"/>
    <col width="14" customWidth="1" min="5" max="5"/>
    <col width="12" customWidth="1" min="6" max="6"/>
    <col width="12" customWidth="1" min="7" max="7"/>
  </cols>
  <sheetData>
    <row r="1">
      <c r="A1" s="1" t="inlineStr">
        <is>
          <t>Unique legal requirements per site</t>
        </is>
      </c>
    </row>
    <row r="2">
      <c r="A2" s="2" t="inlineStr">
        <is>
          <t>Unique = distinct legal requirements in the site's checklist (rows repeating the same requirement count once).</t>
        </is>
      </c>
    </row>
    <row r="4">
      <c r="A4" s="3" t="inlineStr">
        <is>
          <t>Country</t>
        </is>
      </c>
      <c r="B4" s="3" t="inlineStr">
        <is>
          <t>Site ID</t>
        </is>
      </c>
      <c r="C4" s="3" t="inlineStr">
        <is>
          <t>Site</t>
        </is>
      </c>
      <c r="D4" s="3" t="inlineStr">
        <is>
          <t>Type of business</t>
        </is>
      </c>
      <c r="E4" s="3" t="inlineStr">
        <is>
          <t>Unique legal requirements</t>
        </is>
      </c>
      <c r="F4" s="3" t="inlineStr">
        <is>
          <t>Checklist rows</t>
        </is>
      </c>
      <c r="G4" s="3" t="inlineStr">
        <is>
          <t>Repeated rows</t>
        </is>
      </c>
    </row>
    <row r="5">
      <c r="A5" s="4" t="inlineStr">
        <is>
          <t>Spain</t>
        </is>
      </c>
      <c r="B5" s="4" t="inlineStr">
        <is>
          <t>ES-VIT</t>
        </is>
      </c>
      <c r="C5" s="4" t="inlineStr">
        <is>
          <t>Vitoria Factory</t>
        </is>
      </c>
      <c r="D5" s="4" t="inlineStr">
        <is>
          <t>Factory</t>
        </is>
      </c>
      <c r="E5" s="4" t="n">
        <v>81</v>
      </c>
      <c r="F5" s="4" t="n">
        <v>81</v>
      </c>
      <c r="G5" s="4">
        <f>F5-E5</f>
        <v/>
      </c>
    </row>
    <row r="6">
      <c r="A6" s="4" t="inlineStr">
        <is>
          <t>Spain</t>
        </is>
      </c>
      <c r="B6" s="4" t="inlineStr">
        <is>
          <t>ES-MEC</t>
        </is>
      </c>
      <c r="C6" s="4" t="inlineStr">
        <is>
          <t>Meco Warehouse</t>
        </is>
      </c>
      <c r="D6" s="4" t="inlineStr">
        <is>
          <t>Warehouse</t>
        </is>
      </c>
      <c r="E6" s="4" t="n">
        <v>78</v>
      </c>
      <c r="F6" s="4" t="n">
        <v>78</v>
      </c>
      <c r="G6" s="4">
        <f>F6-E6</f>
        <v/>
      </c>
    </row>
    <row r="7">
      <c r="A7" s="4" t="inlineStr">
        <is>
          <t>Spain</t>
        </is>
      </c>
      <c r="B7" s="4" t="inlineStr">
        <is>
          <t>ES-SEV</t>
        </is>
      </c>
      <c r="C7" s="4" t="inlineStr">
        <is>
          <t>Sevilla Warehouse</t>
        </is>
      </c>
      <c r="D7" s="4" t="inlineStr">
        <is>
          <t>Warehouse</t>
        </is>
      </c>
      <c r="E7" s="4" t="n">
        <v>78</v>
      </c>
      <c r="F7" s="4" t="n">
        <v>78</v>
      </c>
      <c r="G7" s="4">
        <f>F7-E7</f>
        <v/>
      </c>
    </row>
    <row r="8">
      <c r="A8" s="4" t="inlineStr">
        <is>
          <t>Spain</t>
        </is>
      </c>
      <c r="B8" s="4" t="inlineStr">
        <is>
          <t>ES-VAL</t>
        </is>
      </c>
      <c r="C8" s="4" t="inlineStr">
        <is>
          <t>Valencia Warehouse</t>
        </is>
      </c>
      <c r="D8" s="4" t="inlineStr">
        <is>
          <t>Warehouse</t>
        </is>
      </c>
      <c r="E8" s="4" t="n">
        <v>72</v>
      </c>
      <c r="F8" s="4" t="n">
        <v>78</v>
      </c>
      <c r="G8" s="4">
        <f>F8-E8</f>
        <v/>
      </c>
    </row>
    <row r="9">
      <c r="A9" s="4" t="inlineStr">
        <is>
          <t>Spain</t>
        </is>
      </c>
      <c r="B9" s="4" t="inlineStr">
        <is>
          <t>ES-BUR</t>
        </is>
      </c>
      <c r="C9" s="4" t="inlineStr">
        <is>
          <t>Burgos Warehouse</t>
        </is>
      </c>
      <c r="D9" s="4" t="inlineStr">
        <is>
          <t>Warehouse</t>
        </is>
      </c>
      <c r="E9" s="4" t="n">
        <v>72</v>
      </c>
      <c r="F9" s="4" t="n">
        <v>72</v>
      </c>
      <c r="G9" s="4">
        <f>F9-E9</f>
        <v/>
      </c>
    </row>
    <row r="10">
      <c r="A10" s="4" t="inlineStr">
        <is>
          <t>Spain</t>
        </is>
      </c>
      <c r="B10" s="4" t="inlineStr">
        <is>
          <t>ES-AND</t>
        </is>
      </c>
      <c r="C10" s="4" t="inlineStr">
        <is>
          <t>Andoain Warehouse</t>
        </is>
      </c>
      <c r="D10" s="4" t="inlineStr">
        <is>
          <t>Warehouse</t>
        </is>
      </c>
      <c r="E10" s="4" t="n">
        <v>58</v>
      </c>
      <c r="F10" s="4" t="n">
        <v>58</v>
      </c>
      <c r="G10" s="4">
        <f>F10-E10</f>
        <v/>
      </c>
    </row>
    <row r="11">
      <c r="A11" s="4" t="inlineStr">
        <is>
          <t>Spain</t>
        </is>
      </c>
      <c r="B11" s="4" t="inlineStr">
        <is>
          <t>ES-MAD</t>
        </is>
      </c>
      <c r="C11" s="4" t="inlineStr">
        <is>
          <t>Madrid Office</t>
        </is>
      </c>
      <c r="D11" s="4" t="inlineStr">
        <is>
          <t>Office</t>
        </is>
      </c>
      <c r="E11" s="4" t="n">
        <v>31</v>
      </c>
      <c r="F11" s="4" t="n">
        <v>31</v>
      </c>
      <c r="G11" s="4">
        <f>F11-E11</f>
        <v/>
      </c>
    </row>
    <row r="12">
      <c r="A12" s="4" t="inlineStr">
        <is>
          <t>Spain</t>
        </is>
      </c>
      <c r="B12" s="4" t="inlineStr">
        <is>
          <t>ES-ACO</t>
        </is>
      </c>
      <c r="C12" s="4" t="inlineStr">
        <is>
          <t>A Coruña – Repsol in-house warehouse</t>
        </is>
      </c>
      <c r="D12" s="4" t="inlineStr">
        <is>
          <t>Services</t>
        </is>
      </c>
      <c r="E12" s="4" t="n">
        <v>11</v>
      </c>
      <c r="F12" s="4" t="n">
        <v>11</v>
      </c>
      <c r="G12" s="4">
        <f>F12-E12</f>
        <v/>
      </c>
    </row>
    <row r="13">
      <c r="A13" s="4" t="inlineStr">
        <is>
          <t>Portugal</t>
        </is>
      </c>
      <c r="B13" s="4" t="inlineStr">
        <is>
          <t>PT-AVE</t>
        </is>
      </c>
      <c r="C13" s="4" t="inlineStr">
        <is>
          <t>Aveiro Office</t>
        </is>
      </c>
      <c r="D13" s="4" t="inlineStr">
        <is>
          <t>Office</t>
        </is>
      </c>
      <c r="E13" s="4" t="n">
        <v>45</v>
      </c>
      <c r="F13" s="4" t="n">
        <v>45</v>
      </c>
      <c r="G13" s="4">
        <f>F13-E13</f>
        <v/>
      </c>
    </row>
    <row r="14">
      <c r="A14" s="4" t="inlineStr">
        <is>
          <t>Mexico</t>
        </is>
      </c>
      <c r="B14" s="4" t="inlineStr">
        <is>
          <t>MX-MTY</t>
        </is>
      </c>
      <c r="C14" s="4" t="inlineStr">
        <is>
          <t>Monterrey Warehouse (owned)</t>
        </is>
      </c>
      <c r="D14" s="4" t="inlineStr">
        <is>
          <t>Warehouse</t>
        </is>
      </c>
      <c r="E14" s="4" t="n">
        <v>81</v>
      </c>
      <c r="F14" s="4" t="n">
        <v>81</v>
      </c>
      <c r="G14" s="4">
        <f>F14-E14</f>
        <v/>
      </c>
    </row>
    <row r="15">
      <c r="A15" s="4" t="inlineStr">
        <is>
          <t>Mexico</t>
        </is>
      </c>
      <c r="B15" s="4" t="inlineStr">
        <is>
          <t>MX-CDMX</t>
        </is>
      </c>
      <c r="C15" s="4" t="inlineStr">
        <is>
          <t>CDMX Office</t>
        </is>
      </c>
      <c r="D15" s="4" t="inlineStr">
        <is>
          <t>Office</t>
        </is>
      </c>
      <c r="E15" s="4" t="n">
        <v>47</v>
      </c>
      <c r="F15" s="4" t="n">
        <v>47</v>
      </c>
      <c r="G15" s="4">
        <f>F15-E15</f>
        <v/>
      </c>
    </row>
    <row r="16">
      <c r="A16" s="4" t="inlineStr">
        <is>
          <t>Mexico</t>
        </is>
      </c>
      <c r="B16" s="4" t="inlineStr">
        <is>
          <t>MX-INO</t>
        </is>
      </c>
      <c r="C16" s="4" t="inlineStr">
        <is>
          <t>EPC INOAC</t>
        </is>
      </c>
      <c r="D16" s="4" t="inlineStr">
        <is>
          <t>EPC</t>
        </is>
      </c>
      <c r="E16" s="4" t="n">
        <v>38</v>
      </c>
      <c r="F16" s="4" t="n">
        <v>38</v>
      </c>
      <c r="G16" s="4">
        <f>F16-E16</f>
        <v/>
      </c>
    </row>
    <row r="17">
      <c r="A17" s="4" t="inlineStr">
        <is>
          <t>Mexico</t>
        </is>
      </c>
      <c r="B17" s="4" t="inlineStr">
        <is>
          <t>MX-IBE</t>
        </is>
      </c>
      <c r="C17" s="4" t="inlineStr">
        <is>
          <t>Iberdrola in-house warehouse</t>
        </is>
      </c>
      <c r="D17" s="4" t="inlineStr">
        <is>
          <t>Services</t>
        </is>
      </c>
      <c r="E17" s="4" t="n">
        <v>30</v>
      </c>
      <c r="F17" s="4" t="n">
        <v>30</v>
      </c>
      <c r="G17" s="4">
        <f>F17-E17</f>
        <v/>
      </c>
    </row>
    <row r="18">
      <c r="A18" s="4" t="inlineStr">
        <is>
          <t>Mexico</t>
        </is>
      </c>
      <c r="B18" s="4" t="inlineStr">
        <is>
          <t>MX-BRA</t>
        </is>
      </c>
      <c r="C18" s="4" t="inlineStr">
        <is>
          <t>Braskem in-house warehouse</t>
        </is>
      </c>
      <c r="D18" s="4" t="inlineStr">
        <is>
          <t>Services</t>
        </is>
      </c>
      <c r="E18" s="4" t="n">
        <v>30</v>
      </c>
      <c r="F18" s="4" t="n">
        <v>30</v>
      </c>
      <c r="G18" s="4">
        <f>F18-E18</f>
        <v/>
      </c>
    </row>
    <row r="19">
      <c r="A19" s="4" t="inlineStr">
        <is>
          <t>Mexico</t>
        </is>
      </c>
      <c r="B19" s="4" t="inlineStr">
        <is>
          <t>MX-ALT</t>
        </is>
      </c>
      <c r="C19" s="4" t="inlineStr">
        <is>
          <t>Altamira – Quantum warehouse &amp; services</t>
        </is>
      </c>
      <c r="D19" s="4" t="inlineStr">
        <is>
          <t>Services</t>
        </is>
      </c>
      <c r="E19" s="4" t="n">
        <v>30</v>
      </c>
      <c r="F19" s="4" t="n">
        <v>30</v>
      </c>
      <c r="G19" s="4">
        <f>F19-E19</f>
        <v/>
      </c>
    </row>
    <row r="20">
      <c r="A20" s="4" t="inlineStr">
        <is>
          <t>Mexico</t>
        </is>
      </c>
      <c r="B20" s="4" t="inlineStr">
        <is>
          <t>MX-SCH</t>
        </is>
      </c>
      <c r="C20" s="4" t="inlineStr">
        <is>
          <t>Schneider general services (Monterrey)</t>
        </is>
      </c>
      <c r="D20" s="4" t="inlineStr">
        <is>
          <t>Services</t>
        </is>
      </c>
      <c r="E20" s="4" t="n">
        <v>25</v>
      </c>
      <c r="F20" s="4" t="n">
        <v>25</v>
      </c>
      <c r="G20" s="4">
        <f>F20-E20</f>
        <v/>
      </c>
    </row>
    <row r="21">
      <c r="A21" s="4" t="inlineStr">
        <is>
          <t>Mexico</t>
        </is>
      </c>
      <c r="B21" s="4" t="inlineStr">
        <is>
          <t>MX-CHE</t>
        </is>
      </c>
      <c r="C21" s="4" t="inlineStr">
        <is>
          <t>Chetumal general services</t>
        </is>
      </c>
      <c r="D21" s="4" t="inlineStr">
        <is>
          <t>Services</t>
        </is>
      </c>
      <c r="E21" s="4" t="n">
        <v>25</v>
      </c>
      <c r="F21" s="4" t="n">
        <v>25</v>
      </c>
      <c r="G21" s="4">
        <f>F21-E21</f>
        <v/>
      </c>
    </row>
    <row r="22">
      <c r="A22" s="4" t="inlineStr">
        <is>
          <t>Colombia</t>
        </is>
      </c>
      <c r="B22" s="4" t="inlineStr">
        <is>
          <t>CO-EPC</t>
        </is>
      </c>
      <c r="C22" s="4" t="inlineStr">
        <is>
          <t>EPC Solar project</t>
        </is>
      </c>
      <c r="D22" s="4" t="inlineStr">
        <is>
          <t>EPC</t>
        </is>
      </c>
      <c r="E22" s="4" t="n">
        <v>49</v>
      </c>
      <c r="F22" s="4" t="n">
        <v>49</v>
      </c>
      <c r="G22" s="4">
        <f>F22-E22</f>
        <v/>
      </c>
    </row>
    <row r="23">
      <c r="A23" s="4" t="inlineStr">
        <is>
          <t>Colombia</t>
        </is>
      </c>
      <c r="B23" s="4" t="inlineStr">
        <is>
          <t>CO-HOM</t>
        </is>
      </c>
      <c r="C23" s="4" t="inlineStr">
        <is>
          <t>Home-office (teleworking)</t>
        </is>
      </c>
      <c r="D23" s="4" t="inlineStr">
        <is>
          <t>Office</t>
        </is>
      </c>
      <c r="E23" s="4" t="n">
        <v>21</v>
      </c>
      <c r="F23" s="4" t="n">
        <v>21</v>
      </c>
      <c r="G23" s="4">
        <f>F23-E23</f>
        <v/>
      </c>
    </row>
    <row r="24">
      <c r="A24" s="4" t="inlineStr">
        <is>
          <t>France</t>
        </is>
      </c>
      <c r="B24" s="4" t="inlineStr">
        <is>
          <t>FR-OFF</t>
        </is>
      </c>
      <c r="C24" s="4" t="inlineStr">
        <is>
          <t>Villeurbanne Office</t>
        </is>
      </c>
      <c r="D24" s="4" t="inlineStr">
        <is>
          <t>Office</t>
        </is>
      </c>
      <c r="E24" s="4" t="n">
        <v>26</v>
      </c>
      <c r="F24" s="4" t="n">
        <v>30</v>
      </c>
      <c r="G24" s="4">
        <f>F24-E24</f>
        <v/>
      </c>
    </row>
    <row r="25">
      <c r="A25" s="4" t="inlineStr">
        <is>
          <t>France</t>
        </is>
      </c>
      <c r="B25" s="4" t="inlineStr">
        <is>
          <t>FR-EPC</t>
        </is>
      </c>
      <c r="C25" s="4" t="inlineStr">
        <is>
          <t>EPC – subcontractor &amp; logistics</t>
        </is>
      </c>
      <c r="D25" s="4" t="inlineStr">
        <is>
          <t>EPC</t>
        </is>
      </c>
      <c r="E25" s="4" t="n">
        <v>23</v>
      </c>
      <c r="F25" s="4" t="n">
        <v>31</v>
      </c>
      <c r="G25" s="4">
        <f>F25-E25</f>
        <v/>
      </c>
    </row>
    <row r="26">
      <c r="A26" s="4" t="inlineStr">
        <is>
          <t>Greece</t>
        </is>
      </c>
      <c r="B26" s="4" t="inlineStr">
        <is>
          <t>GR-ATH</t>
        </is>
      </c>
      <c r="C26" s="4" t="inlineStr">
        <is>
          <t>Athens Office</t>
        </is>
      </c>
      <c r="D26" s="4" t="inlineStr">
        <is>
          <t>Office</t>
        </is>
      </c>
      <c r="E26" s="4" t="n">
        <v>28</v>
      </c>
      <c r="F26" s="4" t="n">
        <v>28</v>
      </c>
      <c r="G26" s="4">
        <f>F26-E26</f>
        <v/>
      </c>
    </row>
    <row r="27">
      <c r="A27" s="4" t="inlineStr">
        <is>
          <t>Italy</t>
        </is>
      </c>
      <c r="B27" s="4" t="inlineStr">
        <is>
          <t>IT-BUC</t>
        </is>
      </c>
      <c r="C27" s="4" t="inlineStr">
        <is>
          <t>Buccinasco Office (HQ)</t>
        </is>
      </c>
      <c r="D27" s="4" t="inlineStr">
        <is>
          <t>Office</t>
        </is>
      </c>
      <c r="E27" s="4" t="n">
        <v>44</v>
      </c>
      <c r="F27" s="4" t="n">
        <v>44</v>
      </c>
      <c r="G27" s="4">
        <f>F27-E27</f>
        <v/>
      </c>
    </row>
    <row r="28">
      <c r="D28" s="6" t="inlineStr">
        <is>
          <t>Total</t>
        </is>
      </c>
      <c r="E28" s="6">
        <f>SUM(E5:E27)</f>
        <v/>
      </c>
      <c r="F28" s="6">
        <f>SUM(F5:F27)</f>
        <v/>
      </c>
      <c r="G28" s="6">
        <f>SUM(G5:G27)</f>
        <v/>
      </c>
    </row>
    <row r="29">
      <c r="A29" s="2" t="inlineStr">
        <is>
          <t>The site totals add up to more than the country totals because the same requirement at several sites is counted at each site here and once per country on the treemap.</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40" customWidth="1" min="1" max="1"/>
    <col width="10" customWidth="1" min="2" max="2"/>
  </cols>
  <sheetData>
    <row r="1">
      <c r="A1" s="1" t="inlineStr">
        <is>
          <t>Page 1 headline numbers</t>
        </is>
      </c>
    </row>
    <row r="3">
      <c r="A3" s="3" t="inlineStr">
        <is>
          <t>Measure</t>
        </is>
      </c>
      <c r="B3" s="3" t="inlineStr">
        <is>
          <t>Value</t>
        </is>
      </c>
    </row>
    <row r="4">
      <c r="A4" s="4" t="inlineStr">
        <is>
          <t>Legal requirements (unique)</t>
        </is>
      </c>
      <c r="B4" s="4" t="n">
        <v>606</v>
      </c>
    </row>
    <row r="5">
      <c r="A5" s="4" t="inlineStr">
        <is>
          <t>Checklist rows</t>
        </is>
      </c>
      <c r="B5" s="4" t="n">
        <v>1041</v>
      </c>
    </row>
    <row r="6">
      <c r="A6" s="4" t="inlineStr">
        <is>
          <t>Key activities (distinct, as written)</t>
        </is>
      </c>
      <c r="B6" s="4" t="n">
        <v>124</v>
      </c>
    </row>
    <row r="7">
      <c r="A7" s="4" t="inlineStr">
        <is>
          <t>Regulations referenced (distinct)</t>
        </is>
      </c>
      <c r="B7" s="4" t="n">
        <v>458</v>
      </c>
    </row>
    <row r="8">
      <c r="A8" s="4" t="inlineStr">
        <is>
          <t>Sites</t>
        </is>
      </c>
      <c r="B8" s="4" t="n">
        <v>23</v>
      </c>
    </row>
    <row r="9">
      <c r="A9" s="4" t="inlineStr">
        <is>
          <t>Countries</t>
        </is>
      </c>
      <c r="B9" s="4" t="n">
        <v>7</v>
      </c>
    </row>
    <row r="10">
      <c r="A10" s="4" t="inlineStr">
        <is>
          <t>Types of business</t>
        </is>
      </c>
      <c r="B10" s="4" t="n">
        <v>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61"/>
  <sheetViews>
    <sheetView workbookViewId="0">
      <selection activeCell="A1" sqref="A1"/>
    </sheetView>
  </sheetViews>
  <sheetFormatPr baseColWidth="8" defaultRowHeight="15"/>
  <cols>
    <col width="16" customWidth="1" min="1" max="1"/>
    <col width="12" customWidth="1" min="2" max="2"/>
    <col width="18" customWidth="1" min="3" max="3"/>
    <col width="14" customWidth="1" min="4" max="4"/>
    <col width="9" customWidth="1" min="5" max="5"/>
  </cols>
  <sheetData>
    <row r="1">
      <c r="A1" s="1" t="inlineStr">
        <is>
          <t>Compliance status by criticality · per site</t>
        </is>
      </c>
    </row>
    <row r="2">
      <c r="A2" s="2" t="inlineStr">
        <is>
          <t>Deck = figure as printed on the cluster-deck slide. Checklist = counted from the site checklist (site has no own chart in the deck).</t>
        </is>
      </c>
    </row>
    <row r="4">
      <c r="A4" s="7" t="inlineStr">
        <is>
          <t>ES-VIT · Vitoria Factory (deck)</t>
        </is>
      </c>
    </row>
    <row r="5">
      <c r="A5" s="3" t="inlineStr">
        <is>
          <t>Criticality</t>
        </is>
      </c>
      <c r="B5" s="3" t="inlineStr">
        <is>
          <t>Compliant</t>
        </is>
      </c>
      <c r="C5" s="3" t="inlineStr">
        <is>
          <t>Partially compliant</t>
        </is>
      </c>
      <c r="D5" s="3" t="inlineStr">
        <is>
          <t>Non-compliant</t>
        </is>
      </c>
      <c r="E5" s="3" t="inlineStr">
        <is>
          <t>Total</t>
        </is>
      </c>
    </row>
    <row r="6">
      <c r="A6" s="4" t="inlineStr">
        <is>
          <t>High</t>
        </is>
      </c>
      <c r="B6" s="4" t="n">
        <v>2</v>
      </c>
      <c r="C6" s="4" t="n">
        <v>15</v>
      </c>
      <c r="D6" s="4" t="n">
        <v>9</v>
      </c>
      <c r="E6" s="4">
        <f>SUM(B6:D6)</f>
        <v/>
      </c>
    </row>
    <row r="7">
      <c r="A7" s="4" t="inlineStr">
        <is>
          <t>Medium</t>
        </is>
      </c>
      <c r="B7" s="4" t="n">
        <v>1</v>
      </c>
      <c r="C7" s="4" t="n">
        <v>16</v>
      </c>
      <c r="D7" s="4" t="n">
        <v>1</v>
      </c>
      <c r="E7" s="4">
        <f>SUM(B7:D7)</f>
        <v/>
      </c>
    </row>
    <row r="8">
      <c r="A8" s="4" t="inlineStr">
        <is>
          <t>Low</t>
        </is>
      </c>
      <c r="B8" s="4" t="n">
        <v>0</v>
      </c>
      <c r="C8" s="4" t="n">
        <v>1</v>
      </c>
      <c r="D8" s="4" t="n">
        <v>1</v>
      </c>
      <c r="E8" s="4">
        <f>SUM(B8:D8)</f>
        <v/>
      </c>
    </row>
    <row r="9">
      <c r="A9" s="6" t="inlineStr">
        <is>
          <t>Total</t>
        </is>
      </c>
      <c r="B9" s="6">
        <f>SUM(B6:B8)</f>
        <v/>
      </c>
      <c r="C9" s="6">
        <f>SUM(C6:C8)</f>
        <v/>
      </c>
      <c r="D9" s="6">
        <f>SUM(D6:D8)</f>
        <v/>
      </c>
      <c r="E9" s="6">
        <f>SUM(E6:E8)</f>
        <v/>
      </c>
    </row>
    <row r="20">
      <c r="A20" s="7" t="inlineStr">
        <is>
          <t>ES-MEC · Meco Warehouse (deck)</t>
        </is>
      </c>
    </row>
    <row r="21">
      <c r="A21" s="3" t="inlineStr">
        <is>
          <t>Criticality</t>
        </is>
      </c>
      <c r="B21" s="3" t="inlineStr">
        <is>
          <t>Compliant</t>
        </is>
      </c>
      <c r="C21" s="3" t="inlineStr">
        <is>
          <t>Partially compliant</t>
        </is>
      </c>
      <c r="D21" s="3" t="inlineStr">
        <is>
          <t>Non-compliant</t>
        </is>
      </c>
      <c r="E21" s="3" t="inlineStr">
        <is>
          <t>Total</t>
        </is>
      </c>
    </row>
    <row r="22">
      <c r="A22" s="4" t="inlineStr">
        <is>
          <t>High</t>
        </is>
      </c>
      <c r="B22" s="4" t="n">
        <v>16</v>
      </c>
      <c r="C22" s="4" t="n">
        <v>2</v>
      </c>
      <c r="D22" s="4" t="n">
        <v>14</v>
      </c>
      <c r="E22" s="4">
        <f>SUM(B22:D22)</f>
        <v/>
      </c>
    </row>
    <row r="23">
      <c r="A23" s="4" t="inlineStr">
        <is>
          <t>Medium</t>
        </is>
      </c>
      <c r="B23" s="4" t="n">
        <v>8</v>
      </c>
      <c r="C23" s="4" t="n">
        <v>11</v>
      </c>
      <c r="D23" s="4" t="n">
        <v>7</v>
      </c>
      <c r="E23" s="4">
        <f>SUM(B23:D23)</f>
        <v/>
      </c>
    </row>
    <row r="24">
      <c r="A24" s="4" t="inlineStr">
        <is>
          <t>Low</t>
        </is>
      </c>
      <c r="B24" s="4" t="n">
        <v>0</v>
      </c>
      <c r="C24" s="4" t="n">
        <v>1</v>
      </c>
      <c r="D24" s="4" t="n">
        <v>4</v>
      </c>
      <c r="E24" s="4">
        <f>SUM(B24:D24)</f>
        <v/>
      </c>
    </row>
    <row r="25">
      <c r="A25" s="6" t="inlineStr">
        <is>
          <t>Total</t>
        </is>
      </c>
      <c r="B25" s="6">
        <f>SUM(B22:B24)</f>
        <v/>
      </c>
      <c r="C25" s="6">
        <f>SUM(C22:C24)</f>
        <v/>
      </c>
      <c r="D25" s="6">
        <f>SUM(D22:D24)</f>
        <v/>
      </c>
      <c r="E25" s="6">
        <f>SUM(E22:E24)</f>
        <v/>
      </c>
    </row>
    <row r="36">
      <c r="A36" s="7" t="inlineStr">
        <is>
          <t>ES-SEV · Sevilla Warehouse (deck)</t>
        </is>
      </c>
    </row>
    <row r="37">
      <c r="A37" s="3" t="inlineStr">
        <is>
          <t>Criticality</t>
        </is>
      </c>
      <c r="B37" s="3" t="inlineStr">
        <is>
          <t>Compliant</t>
        </is>
      </c>
      <c r="C37" s="3" t="inlineStr">
        <is>
          <t>Partially compliant</t>
        </is>
      </c>
      <c r="D37" s="3" t="inlineStr">
        <is>
          <t>Non-compliant</t>
        </is>
      </c>
      <c r="E37" s="3" t="inlineStr">
        <is>
          <t>Total</t>
        </is>
      </c>
    </row>
    <row r="38">
      <c r="A38" s="4" t="inlineStr">
        <is>
          <t>High</t>
        </is>
      </c>
      <c r="B38" s="4" t="n">
        <v>20</v>
      </c>
      <c r="C38" s="4" t="n">
        <v>8</v>
      </c>
      <c r="D38" s="4" t="n">
        <v>7</v>
      </c>
      <c r="E38" s="4">
        <f>SUM(B38:D38)</f>
        <v/>
      </c>
    </row>
    <row r="39">
      <c r="A39" s="4" t="inlineStr">
        <is>
          <t>Medium</t>
        </is>
      </c>
      <c r="B39" s="4" t="n">
        <v>4</v>
      </c>
      <c r="C39" s="4" t="n">
        <v>11</v>
      </c>
      <c r="D39" s="4" t="n">
        <v>4</v>
      </c>
      <c r="E39" s="4">
        <f>SUM(B39:D39)</f>
        <v/>
      </c>
    </row>
    <row r="40">
      <c r="A40" s="4" t="inlineStr">
        <is>
          <t>Low</t>
        </is>
      </c>
      <c r="B40" s="4" t="n">
        <v>0</v>
      </c>
      <c r="C40" s="4" t="n">
        <v>0</v>
      </c>
      <c r="D40" s="4" t="n">
        <v>0</v>
      </c>
      <c r="E40" s="4">
        <f>SUM(B40:D40)</f>
        <v/>
      </c>
    </row>
    <row r="41">
      <c r="A41" s="6" t="inlineStr">
        <is>
          <t>Total</t>
        </is>
      </c>
      <c r="B41" s="6">
        <f>SUM(B38:B40)</f>
        <v/>
      </c>
      <c r="C41" s="6">
        <f>SUM(C38:C40)</f>
        <v/>
      </c>
      <c r="D41" s="6">
        <f>SUM(D38:D40)</f>
        <v/>
      </c>
      <c r="E41" s="6">
        <f>SUM(E38:E40)</f>
        <v/>
      </c>
    </row>
    <row r="52">
      <c r="A52" s="7" t="inlineStr">
        <is>
          <t>ES-VAL · Valencia Warehouse (deck)</t>
        </is>
      </c>
    </row>
    <row r="53">
      <c r="A53" s="3" t="inlineStr">
        <is>
          <t>Criticality</t>
        </is>
      </c>
      <c r="B53" s="3" t="inlineStr">
        <is>
          <t>Compliant</t>
        </is>
      </c>
      <c r="C53" s="3" t="inlineStr">
        <is>
          <t>Partially compliant</t>
        </is>
      </c>
      <c r="D53" s="3" t="inlineStr">
        <is>
          <t>Non-compliant</t>
        </is>
      </c>
      <c r="E53" s="3" t="inlineStr">
        <is>
          <t>Total</t>
        </is>
      </c>
    </row>
    <row r="54">
      <c r="A54" s="4" t="inlineStr">
        <is>
          <t>High</t>
        </is>
      </c>
      <c r="B54" s="4" t="n">
        <v>16</v>
      </c>
      <c r="C54" s="4" t="n">
        <v>3</v>
      </c>
      <c r="D54" s="4" t="n">
        <v>6</v>
      </c>
      <c r="E54" s="4">
        <f>SUM(B54:D54)</f>
        <v/>
      </c>
    </row>
    <row r="55">
      <c r="A55" s="4" t="inlineStr">
        <is>
          <t>Medium</t>
        </is>
      </c>
      <c r="B55" s="4" t="n">
        <v>8</v>
      </c>
      <c r="C55" s="4" t="n">
        <v>16</v>
      </c>
      <c r="D55" s="4" t="n">
        <v>3</v>
      </c>
      <c r="E55" s="4">
        <f>SUM(B55:D55)</f>
        <v/>
      </c>
    </row>
    <row r="56">
      <c r="A56" s="4" t="inlineStr">
        <is>
          <t>Low</t>
        </is>
      </c>
      <c r="B56" s="4" t="n">
        <v>1</v>
      </c>
      <c r="C56" s="4" t="n">
        <v>9</v>
      </c>
      <c r="D56" s="4" t="n">
        <v>0</v>
      </c>
      <c r="E56" s="4">
        <f>SUM(B56:D56)</f>
        <v/>
      </c>
    </row>
    <row r="57">
      <c r="A57" s="6" t="inlineStr">
        <is>
          <t>Total</t>
        </is>
      </c>
      <c r="B57" s="6">
        <f>SUM(B54:B56)</f>
        <v/>
      </c>
      <c r="C57" s="6">
        <f>SUM(C54:C56)</f>
        <v/>
      </c>
      <c r="D57" s="6">
        <f>SUM(D54:D56)</f>
        <v/>
      </c>
      <c r="E57" s="6">
        <f>SUM(E54:E56)</f>
        <v/>
      </c>
    </row>
    <row r="68">
      <c r="A68" s="7" t="inlineStr">
        <is>
          <t>ES-BUR · Burgos Warehouse (deck)</t>
        </is>
      </c>
    </row>
    <row r="69">
      <c r="A69" s="3" t="inlineStr">
        <is>
          <t>Criticality</t>
        </is>
      </c>
      <c r="B69" s="3" t="inlineStr">
        <is>
          <t>Compliant</t>
        </is>
      </c>
      <c r="C69" s="3" t="inlineStr">
        <is>
          <t>Partially compliant</t>
        </is>
      </c>
      <c r="D69" s="3" t="inlineStr">
        <is>
          <t>Non-compliant</t>
        </is>
      </c>
      <c r="E69" s="3" t="inlineStr">
        <is>
          <t>Total</t>
        </is>
      </c>
    </row>
    <row r="70">
      <c r="A70" s="4" t="inlineStr">
        <is>
          <t>High</t>
        </is>
      </c>
      <c r="B70" s="4" t="n">
        <v>9</v>
      </c>
      <c r="C70" s="4" t="n">
        <v>6</v>
      </c>
      <c r="D70" s="4" t="n">
        <v>2</v>
      </c>
      <c r="E70" s="4">
        <f>SUM(B70:D70)</f>
        <v/>
      </c>
    </row>
    <row r="71">
      <c r="A71" s="4" t="inlineStr">
        <is>
          <t>Medium</t>
        </is>
      </c>
      <c r="B71" s="4" t="n">
        <v>2</v>
      </c>
      <c r="C71" s="4" t="n">
        <v>18</v>
      </c>
      <c r="D71" s="4" t="n">
        <v>1</v>
      </c>
      <c r="E71" s="4">
        <f>SUM(B71:D71)</f>
        <v/>
      </c>
    </row>
    <row r="72">
      <c r="A72" s="4" t="inlineStr">
        <is>
          <t>Low</t>
        </is>
      </c>
      <c r="B72" s="4" t="n">
        <v>0</v>
      </c>
      <c r="C72" s="4" t="n">
        <v>11</v>
      </c>
      <c r="D72" s="4" t="n">
        <v>0</v>
      </c>
      <c r="E72" s="4">
        <f>SUM(B72:D72)</f>
        <v/>
      </c>
    </row>
    <row r="73">
      <c r="A73" s="6" t="inlineStr">
        <is>
          <t>Total</t>
        </is>
      </c>
      <c r="B73" s="6">
        <f>SUM(B70:B72)</f>
        <v/>
      </c>
      <c r="C73" s="6">
        <f>SUM(C70:C72)</f>
        <v/>
      </c>
      <c r="D73" s="6">
        <f>SUM(D70:D72)</f>
        <v/>
      </c>
      <c r="E73" s="6">
        <f>SUM(E70:E72)</f>
        <v/>
      </c>
    </row>
    <row r="84">
      <c r="A84" s="7" t="inlineStr">
        <is>
          <t>ES-AND · Andoain Warehouse (deck)</t>
        </is>
      </c>
    </row>
    <row r="85">
      <c r="A85" s="3" t="inlineStr">
        <is>
          <t>Criticality</t>
        </is>
      </c>
      <c r="B85" s="3" t="inlineStr">
        <is>
          <t>Compliant</t>
        </is>
      </c>
      <c r="C85" s="3" t="inlineStr">
        <is>
          <t>Partially compliant</t>
        </is>
      </c>
      <c r="D85" s="3" t="inlineStr">
        <is>
          <t>Non-compliant</t>
        </is>
      </c>
      <c r="E85" s="3" t="inlineStr">
        <is>
          <t>Total</t>
        </is>
      </c>
    </row>
    <row r="86">
      <c r="A86" s="4" t="inlineStr">
        <is>
          <t>High</t>
        </is>
      </c>
      <c r="B86" s="4" t="n">
        <v>1</v>
      </c>
      <c r="C86" s="4" t="n">
        <v>16</v>
      </c>
      <c r="D86" s="4" t="n">
        <v>4</v>
      </c>
      <c r="E86" s="4">
        <f>SUM(B86:D86)</f>
        <v/>
      </c>
    </row>
    <row r="87">
      <c r="A87" s="4" t="inlineStr">
        <is>
          <t>Medium</t>
        </is>
      </c>
      <c r="B87" s="4" t="n">
        <v>1</v>
      </c>
      <c r="C87" s="4" t="n">
        <v>8</v>
      </c>
      <c r="D87" s="4" t="n">
        <v>15</v>
      </c>
      <c r="E87" s="4">
        <f>SUM(B87:D87)</f>
        <v/>
      </c>
    </row>
    <row r="88">
      <c r="A88" s="4" t="inlineStr">
        <is>
          <t>Low</t>
        </is>
      </c>
      <c r="B88" s="4" t="n">
        <v>0</v>
      </c>
      <c r="C88" s="4" t="n">
        <v>1</v>
      </c>
      <c r="D88" s="4" t="n">
        <v>3</v>
      </c>
      <c r="E88" s="4">
        <f>SUM(B88:D88)</f>
        <v/>
      </c>
    </row>
    <row r="89">
      <c r="A89" s="6" t="inlineStr">
        <is>
          <t>Total</t>
        </is>
      </c>
      <c r="B89" s="6">
        <f>SUM(B86:B88)</f>
        <v/>
      </c>
      <c r="C89" s="6">
        <f>SUM(C86:C88)</f>
        <v/>
      </c>
      <c r="D89" s="6">
        <f>SUM(D86:D88)</f>
        <v/>
      </c>
      <c r="E89" s="6">
        <f>SUM(E86:E88)</f>
        <v/>
      </c>
    </row>
    <row r="100">
      <c r="A100" s="7" t="inlineStr">
        <is>
          <t>ES-MAD · Madrid Office (deck)</t>
        </is>
      </c>
    </row>
    <row r="101">
      <c r="A101" s="3" t="inlineStr">
        <is>
          <t>Criticality</t>
        </is>
      </c>
      <c r="B101" s="3" t="inlineStr">
        <is>
          <t>Compliant</t>
        </is>
      </c>
      <c r="C101" s="3" t="inlineStr">
        <is>
          <t>Partially compliant</t>
        </is>
      </c>
      <c r="D101" s="3" t="inlineStr">
        <is>
          <t>Non-compliant</t>
        </is>
      </c>
      <c r="E101" s="3" t="inlineStr">
        <is>
          <t>Total</t>
        </is>
      </c>
    </row>
    <row r="102">
      <c r="A102" s="4" t="inlineStr">
        <is>
          <t>High</t>
        </is>
      </c>
      <c r="B102" s="4" t="n">
        <v>8</v>
      </c>
      <c r="C102" s="4" t="n">
        <v>1</v>
      </c>
      <c r="D102" s="4" t="n">
        <v>0</v>
      </c>
      <c r="E102" s="4">
        <f>SUM(B102:D102)</f>
        <v/>
      </c>
    </row>
    <row r="103">
      <c r="A103" s="4" t="inlineStr">
        <is>
          <t>Medium</t>
        </is>
      </c>
      <c r="B103" s="4" t="n">
        <v>0</v>
      </c>
      <c r="C103" s="4" t="n">
        <v>9</v>
      </c>
      <c r="D103" s="4" t="n">
        <v>6</v>
      </c>
      <c r="E103" s="4">
        <f>SUM(B103:D103)</f>
        <v/>
      </c>
    </row>
    <row r="104">
      <c r="A104" s="4" t="inlineStr">
        <is>
          <t>Low</t>
        </is>
      </c>
      <c r="B104" s="4" t="n">
        <v>3</v>
      </c>
      <c r="C104" s="4" t="n">
        <v>1</v>
      </c>
      <c r="D104" s="4" t="n">
        <v>0</v>
      </c>
      <c r="E104" s="4">
        <f>SUM(B104:D104)</f>
        <v/>
      </c>
    </row>
    <row r="105">
      <c r="A105" s="6" t="inlineStr">
        <is>
          <t>Total</t>
        </is>
      </c>
      <c r="B105" s="6">
        <f>SUM(B102:B104)</f>
        <v/>
      </c>
      <c r="C105" s="6">
        <f>SUM(C102:C104)</f>
        <v/>
      </c>
      <c r="D105" s="6">
        <f>SUM(D102:D104)</f>
        <v/>
      </c>
      <c r="E105" s="6">
        <f>SUM(E102:E104)</f>
        <v/>
      </c>
    </row>
    <row r="116">
      <c r="A116" s="7" t="inlineStr">
        <is>
          <t>ES-ACO · A Coruña – Repsol in-house warehouse (deck)</t>
        </is>
      </c>
    </row>
    <row r="117">
      <c r="A117" s="3" t="inlineStr">
        <is>
          <t>Criticality</t>
        </is>
      </c>
      <c r="B117" s="3" t="inlineStr">
        <is>
          <t>Compliant</t>
        </is>
      </c>
      <c r="C117" s="3" t="inlineStr">
        <is>
          <t>Partially compliant</t>
        </is>
      </c>
      <c r="D117" s="3" t="inlineStr">
        <is>
          <t>Non-compliant</t>
        </is>
      </c>
      <c r="E117" s="3" t="inlineStr">
        <is>
          <t>Total</t>
        </is>
      </c>
    </row>
    <row r="118">
      <c r="A118" s="4" t="inlineStr">
        <is>
          <t>High</t>
        </is>
      </c>
      <c r="B118" s="4" t="n">
        <v>8</v>
      </c>
      <c r="C118" s="4" t="n">
        <v>0</v>
      </c>
      <c r="D118" s="4" t="n">
        <v>0</v>
      </c>
      <c r="E118" s="4">
        <f>SUM(B118:D118)</f>
        <v/>
      </c>
    </row>
    <row r="119">
      <c r="A119" s="4" t="inlineStr">
        <is>
          <t>Medium</t>
        </is>
      </c>
      <c r="B119" s="4" t="n">
        <v>2</v>
      </c>
      <c r="C119" s="4" t="n">
        <v>1</v>
      </c>
      <c r="D119" s="4" t="n">
        <v>0</v>
      </c>
      <c r="E119" s="4">
        <f>SUM(B119:D119)</f>
        <v/>
      </c>
    </row>
    <row r="120">
      <c r="A120" s="4" t="inlineStr">
        <is>
          <t>Low</t>
        </is>
      </c>
      <c r="B120" s="4" t="n">
        <v>0</v>
      </c>
      <c r="C120" s="4" t="n">
        <v>0</v>
      </c>
      <c r="D120" s="4" t="n">
        <v>0</v>
      </c>
      <c r="E120" s="4">
        <f>SUM(B120:D120)</f>
        <v/>
      </c>
    </row>
    <row r="121">
      <c r="A121" s="6" t="inlineStr">
        <is>
          <t>Total</t>
        </is>
      </c>
      <c r="B121" s="6">
        <f>SUM(B118:B120)</f>
        <v/>
      </c>
      <c r="C121" s="6">
        <f>SUM(C118:C120)</f>
        <v/>
      </c>
      <c r="D121" s="6">
        <f>SUM(D118:D120)</f>
        <v/>
      </c>
      <c r="E121" s="6">
        <f>SUM(E118:E120)</f>
        <v/>
      </c>
    </row>
    <row r="132">
      <c r="A132" s="7" t="inlineStr">
        <is>
          <t>PT-AVE · Aveiro Office (deck)</t>
        </is>
      </c>
    </row>
    <row r="133">
      <c r="A133" s="3" t="inlineStr">
        <is>
          <t>Criticality</t>
        </is>
      </c>
      <c r="B133" s="3" t="inlineStr">
        <is>
          <t>Compliant</t>
        </is>
      </c>
      <c r="C133" s="3" t="inlineStr">
        <is>
          <t>Partially compliant</t>
        </is>
      </c>
      <c r="D133" s="3" t="inlineStr">
        <is>
          <t>Non-compliant</t>
        </is>
      </c>
      <c r="E133" s="3" t="inlineStr">
        <is>
          <t>Total</t>
        </is>
      </c>
    </row>
    <row r="134">
      <c r="A134" s="4" t="inlineStr">
        <is>
          <t>High</t>
        </is>
      </c>
      <c r="B134" s="4" t="n">
        <v>4</v>
      </c>
      <c r="C134" s="4" t="n">
        <v>3</v>
      </c>
      <c r="D134" s="4" t="n">
        <v>1</v>
      </c>
      <c r="E134" s="4">
        <f>SUM(B134:D134)</f>
        <v/>
      </c>
    </row>
    <row r="135">
      <c r="A135" s="4" t="inlineStr">
        <is>
          <t>Medium</t>
        </is>
      </c>
      <c r="B135" s="4" t="n">
        <v>11</v>
      </c>
      <c r="C135" s="4" t="n">
        <v>4</v>
      </c>
      <c r="D135" s="4" t="n">
        <v>4</v>
      </c>
      <c r="E135" s="4">
        <f>SUM(B135:D135)</f>
        <v/>
      </c>
    </row>
    <row r="136">
      <c r="A136" s="4" t="inlineStr">
        <is>
          <t>Low</t>
        </is>
      </c>
      <c r="B136" s="4" t="n">
        <v>2</v>
      </c>
      <c r="C136" s="4" t="n">
        <v>7</v>
      </c>
      <c r="D136" s="4" t="n">
        <v>1</v>
      </c>
      <c r="E136" s="4">
        <f>SUM(B136:D136)</f>
        <v/>
      </c>
    </row>
    <row r="137">
      <c r="A137" s="6" t="inlineStr">
        <is>
          <t>Total</t>
        </is>
      </c>
      <c r="B137" s="6">
        <f>SUM(B134:B136)</f>
        <v/>
      </c>
      <c r="C137" s="6">
        <f>SUM(C134:C136)</f>
        <v/>
      </c>
      <c r="D137" s="6">
        <f>SUM(D134:D136)</f>
        <v/>
      </c>
      <c r="E137" s="6">
        <f>SUM(E134:E136)</f>
        <v/>
      </c>
    </row>
    <row r="148">
      <c r="A148" s="7" t="inlineStr">
        <is>
          <t>MX-MTY · Monterrey Warehouse (owned) (deck)</t>
        </is>
      </c>
    </row>
    <row r="149">
      <c r="A149" s="3" t="inlineStr">
        <is>
          <t>Criticality</t>
        </is>
      </c>
      <c r="B149" s="3" t="inlineStr">
        <is>
          <t>Compliant</t>
        </is>
      </c>
      <c r="C149" s="3" t="inlineStr">
        <is>
          <t>Partially compliant</t>
        </is>
      </c>
      <c r="D149" s="3" t="inlineStr">
        <is>
          <t>Non-compliant</t>
        </is>
      </c>
      <c r="E149" s="3" t="inlineStr">
        <is>
          <t>Total</t>
        </is>
      </c>
    </row>
    <row r="150">
      <c r="A150" s="4" t="inlineStr">
        <is>
          <t>High</t>
        </is>
      </c>
      <c r="B150" s="4" t="n">
        <v>23</v>
      </c>
      <c r="C150" s="4" t="n">
        <v>7</v>
      </c>
      <c r="D150" s="4" t="n">
        <v>5</v>
      </c>
      <c r="E150" s="4">
        <f>SUM(B150:D150)</f>
        <v/>
      </c>
    </row>
    <row r="151">
      <c r="A151" s="4" t="inlineStr">
        <is>
          <t>Medium</t>
        </is>
      </c>
      <c r="B151" s="4" t="n">
        <v>22</v>
      </c>
      <c r="C151" s="4" t="n">
        <v>6</v>
      </c>
      <c r="D151" s="4" t="n">
        <v>0</v>
      </c>
      <c r="E151" s="4">
        <f>SUM(B151:D151)</f>
        <v/>
      </c>
    </row>
    <row r="152">
      <c r="A152" s="4" t="inlineStr">
        <is>
          <t>Low</t>
        </is>
      </c>
      <c r="B152" s="4" t="n">
        <v>8</v>
      </c>
      <c r="C152" s="4" t="n">
        <v>0</v>
      </c>
      <c r="D152" s="4" t="n">
        <v>1</v>
      </c>
      <c r="E152" s="4">
        <f>SUM(B152:D152)</f>
        <v/>
      </c>
    </row>
    <row r="153">
      <c r="A153" s="6" t="inlineStr">
        <is>
          <t>Total</t>
        </is>
      </c>
      <c r="B153" s="6">
        <f>SUM(B150:B152)</f>
        <v/>
      </c>
      <c r="C153" s="6">
        <f>SUM(C150:C152)</f>
        <v/>
      </c>
      <c r="D153" s="6">
        <f>SUM(D150:D152)</f>
        <v/>
      </c>
      <c r="E153" s="6">
        <f>SUM(E150:E152)</f>
        <v/>
      </c>
    </row>
    <row r="164">
      <c r="A164" s="7" t="inlineStr">
        <is>
          <t>MX-CDMX · CDMX Office (deck)</t>
        </is>
      </c>
    </row>
    <row r="165">
      <c r="A165" s="3" t="inlineStr">
        <is>
          <t>Criticality</t>
        </is>
      </c>
      <c r="B165" s="3" t="inlineStr">
        <is>
          <t>Compliant</t>
        </is>
      </c>
      <c r="C165" s="3" t="inlineStr">
        <is>
          <t>Partially compliant</t>
        </is>
      </c>
      <c r="D165" s="3" t="inlineStr">
        <is>
          <t>Non-compliant</t>
        </is>
      </c>
      <c r="E165" s="3" t="inlineStr">
        <is>
          <t>Total</t>
        </is>
      </c>
    </row>
    <row r="166">
      <c r="A166" s="4" t="inlineStr">
        <is>
          <t>High</t>
        </is>
      </c>
      <c r="B166" s="4" t="n">
        <v>22</v>
      </c>
      <c r="C166" s="4" t="n">
        <v>1</v>
      </c>
      <c r="D166" s="4" t="n">
        <v>2</v>
      </c>
      <c r="E166" s="4">
        <f>SUM(B166:D166)</f>
        <v/>
      </c>
    </row>
    <row r="167">
      <c r="A167" s="4" t="inlineStr">
        <is>
          <t>Medium</t>
        </is>
      </c>
      <c r="B167" s="4" t="n">
        <v>7</v>
      </c>
      <c r="C167" s="4" t="n">
        <v>3</v>
      </c>
      <c r="D167" s="4" t="n">
        <v>1</v>
      </c>
      <c r="E167" s="4">
        <f>SUM(B167:D167)</f>
        <v/>
      </c>
    </row>
    <row r="168">
      <c r="A168" s="4" t="inlineStr">
        <is>
          <t>Low</t>
        </is>
      </c>
      <c r="B168" s="4" t="n">
        <v>6</v>
      </c>
      <c r="C168" s="4" t="n">
        <v>1</v>
      </c>
      <c r="D168" s="4" t="n">
        <v>0</v>
      </c>
      <c r="E168" s="4">
        <f>SUM(B168:D168)</f>
        <v/>
      </c>
    </row>
    <row r="169">
      <c r="A169" s="6" t="inlineStr">
        <is>
          <t>Total</t>
        </is>
      </c>
      <c r="B169" s="6">
        <f>SUM(B166:B168)</f>
        <v/>
      </c>
      <c r="C169" s="6">
        <f>SUM(C166:C168)</f>
        <v/>
      </c>
      <c r="D169" s="6">
        <f>SUM(D166:D168)</f>
        <v/>
      </c>
      <c r="E169" s="6">
        <f>SUM(E166:E168)</f>
        <v/>
      </c>
    </row>
    <row r="180">
      <c r="A180" s="7" t="inlineStr">
        <is>
          <t>MX-INO · EPC INOAC (deck)</t>
        </is>
      </c>
    </row>
    <row r="181">
      <c r="A181" s="3" t="inlineStr">
        <is>
          <t>Criticality</t>
        </is>
      </c>
      <c r="B181" s="3" t="inlineStr">
        <is>
          <t>Compliant</t>
        </is>
      </c>
      <c r="C181" s="3" t="inlineStr">
        <is>
          <t>Partially compliant</t>
        </is>
      </c>
      <c r="D181" s="3" t="inlineStr">
        <is>
          <t>Non-compliant</t>
        </is>
      </c>
      <c r="E181" s="3" t="inlineStr">
        <is>
          <t>Total</t>
        </is>
      </c>
    </row>
    <row r="182">
      <c r="A182" s="4" t="inlineStr">
        <is>
          <t>High</t>
        </is>
      </c>
      <c r="B182" s="4" t="n">
        <v>13</v>
      </c>
      <c r="C182" s="4" t="n">
        <v>0</v>
      </c>
      <c r="D182" s="4" t="n">
        <v>3</v>
      </c>
      <c r="E182" s="4">
        <f>SUM(B182:D182)</f>
        <v/>
      </c>
    </row>
    <row r="183">
      <c r="A183" s="4" t="inlineStr">
        <is>
          <t>Medium</t>
        </is>
      </c>
      <c r="B183" s="4" t="n">
        <v>7</v>
      </c>
      <c r="C183" s="4" t="n">
        <v>2</v>
      </c>
      <c r="D183" s="4" t="n">
        <v>3</v>
      </c>
      <c r="E183" s="4">
        <f>SUM(B183:D183)</f>
        <v/>
      </c>
    </row>
    <row r="184">
      <c r="A184" s="4" t="inlineStr">
        <is>
          <t>Low</t>
        </is>
      </c>
      <c r="B184" s="4" t="n">
        <v>7</v>
      </c>
      <c r="C184" s="4" t="n">
        <v>1</v>
      </c>
      <c r="D184" s="4" t="n">
        <v>0</v>
      </c>
      <c r="E184" s="4">
        <f>SUM(B184:D184)</f>
        <v/>
      </c>
    </row>
    <row r="185">
      <c r="A185" s="6" t="inlineStr">
        <is>
          <t>Total</t>
        </is>
      </c>
      <c r="B185" s="6">
        <f>SUM(B182:B184)</f>
        <v/>
      </c>
      <c r="C185" s="6">
        <f>SUM(C182:C184)</f>
        <v/>
      </c>
      <c r="D185" s="6">
        <f>SUM(D182:D184)</f>
        <v/>
      </c>
      <c r="E185" s="6">
        <f>SUM(E182:E184)</f>
        <v/>
      </c>
    </row>
    <row r="196">
      <c r="A196" s="7" t="inlineStr">
        <is>
          <t>MX-IBE · Iberdrola in-house warehouse (checklist)</t>
        </is>
      </c>
    </row>
    <row r="197">
      <c r="A197" s="3" t="inlineStr">
        <is>
          <t>Criticality</t>
        </is>
      </c>
      <c r="B197" s="3" t="inlineStr">
        <is>
          <t>Compliant</t>
        </is>
      </c>
      <c r="C197" s="3" t="inlineStr">
        <is>
          <t>Partially compliant</t>
        </is>
      </c>
      <c r="D197" s="3" t="inlineStr">
        <is>
          <t>Non-compliant</t>
        </is>
      </c>
      <c r="E197" s="3" t="inlineStr">
        <is>
          <t>Total</t>
        </is>
      </c>
    </row>
    <row r="198">
      <c r="A198" s="4" t="inlineStr">
        <is>
          <t>High</t>
        </is>
      </c>
      <c r="B198" s="4" t="n">
        <v>3</v>
      </c>
      <c r="C198" s="4" t="n">
        <v>7</v>
      </c>
      <c r="D198" s="4" t="n">
        <v>6</v>
      </c>
      <c r="E198" s="4">
        <f>SUM(B198:D198)</f>
        <v/>
      </c>
    </row>
    <row r="199">
      <c r="A199" s="4" t="inlineStr">
        <is>
          <t>Medium</t>
        </is>
      </c>
      <c r="B199" s="4" t="n">
        <v>0</v>
      </c>
      <c r="C199" s="4" t="n">
        <v>2</v>
      </c>
      <c r="D199" s="4" t="n">
        <v>7</v>
      </c>
      <c r="E199" s="4">
        <f>SUM(B199:D199)</f>
        <v/>
      </c>
    </row>
    <row r="200">
      <c r="A200" s="4" t="inlineStr">
        <is>
          <t>Low</t>
        </is>
      </c>
      <c r="B200" s="4" t="n">
        <v>1</v>
      </c>
      <c r="C200" s="4" t="n">
        <v>3</v>
      </c>
      <c r="D200" s="4" t="n">
        <v>1</v>
      </c>
      <c r="E200" s="4">
        <f>SUM(B200:D200)</f>
        <v/>
      </c>
    </row>
    <row r="201">
      <c r="A201" s="6" t="inlineStr">
        <is>
          <t>Total</t>
        </is>
      </c>
      <c r="B201" s="6">
        <f>SUM(B198:B200)</f>
        <v/>
      </c>
      <c r="C201" s="6">
        <f>SUM(C198:C200)</f>
        <v/>
      </c>
      <c r="D201" s="6">
        <f>SUM(D198:D200)</f>
        <v/>
      </c>
      <c r="E201" s="6">
        <f>SUM(E198:E200)</f>
        <v/>
      </c>
    </row>
    <row r="212">
      <c r="A212" s="7" t="inlineStr">
        <is>
          <t>MX-BRA · Braskem in-house warehouse (checklist)</t>
        </is>
      </c>
    </row>
    <row r="213">
      <c r="A213" s="3" t="inlineStr">
        <is>
          <t>Criticality</t>
        </is>
      </c>
      <c r="B213" s="3" t="inlineStr">
        <is>
          <t>Compliant</t>
        </is>
      </c>
      <c r="C213" s="3" t="inlineStr">
        <is>
          <t>Partially compliant</t>
        </is>
      </c>
      <c r="D213" s="3" t="inlineStr">
        <is>
          <t>Non-compliant</t>
        </is>
      </c>
      <c r="E213" s="3" t="inlineStr">
        <is>
          <t>Total</t>
        </is>
      </c>
    </row>
    <row r="214">
      <c r="A214" s="4" t="inlineStr">
        <is>
          <t>High</t>
        </is>
      </c>
      <c r="B214" s="4" t="n">
        <v>10</v>
      </c>
      <c r="C214" s="4" t="n">
        <v>0</v>
      </c>
      <c r="D214" s="4" t="n">
        <v>3</v>
      </c>
      <c r="E214" s="4">
        <f>SUM(B214:D214)</f>
        <v/>
      </c>
    </row>
    <row r="215">
      <c r="A215" s="4" t="inlineStr">
        <is>
          <t>Medium</t>
        </is>
      </c>
      <c r="B215" s="4" t="n">
        <v>11</v>
      </c>
      <c r="C215" s="4" t="n">
        <v>1</v>
      </c>
      <c r="D215" s="4" t="n">
        <v>0</v>
      </c>
      <c r="E215" s="4">
        <f>SUM(B215:D215)</f>
        <v/>
      </c>
    </row>
    <row r="216">
      <c r="A216" s="4" t="inlineStr">
        <is>
          <t>Low</t>
        </is>
      </c>
      <c r="B216" s="4" t="n">
        <v>2</v>
      </c>
      <c r="C216" s="4" t="n">
        <v>2</v>
      </c>
      <c r="D216" s="4" t="n">
        <v>1</v>
      </c>
      <c r="E216" s="4">
        <f>SUM(B216:D216)</f>
        <v/>
      </c>
    </row>
    <row r="217">
      <c r="A217" s="6" t="inlineStr">
        <is>
          <t>Total</t>
        </is>
      </c>
      <c r="B217" s="6">
        <f>SUM(B214:B216)</f>
        <v/>
      </c>
      <c r="C217" s="6">
        <f>SUM(C214:C216)</f>
        <v/>
      </c>
      <c r="D217" s="6">
        <f>SUM(D214:D216)</f>
        <v/>
      </c>
      <c r="E217" s="6">
        <f>SUM(E214:E216)</f>
        <v/>
      </c>
    </row>
    <row r="228">
      <c r="A228" s="7" t="inlineStr">
        <is>
          <t>MX-ALT · Altamira – Quantum warehouse &amp; services (checklist)</t>
        </is>
      </c>
    </row>
    <row r="229">
      <c r="A229" s="3" t="inlineStr">
        <is>
          <t>Criticality</t>
        </is>
      </c>
      <c r="B229" s="3" t="inlineStr">
        <is>
          <t>Compliant</t>
        </is>
      </c>
      <c r="C229" s="3" t="inlineStr">
        <is>
          <t>Partially compliant</t>
        </is>
      </c>
      <c r="D229" s="3" t="inlineStr">
        <is>
          <t>Non-compliant</t>
        </is>
      </c>
      <c r="E229" s="3" t="inlineStr">
        <is>
          <t>Total</t>
        </is>
      </c>
    </row>
    <row r="230">
      <c r="A230" s="4" t="inlineStr">
        <is>
          <t>High</t>
        </is>
      </c>
      <c r="B230" s="4" t="n">
        <v>0</v>
      </c>
      <c r="C230" s="4" t="n">
        <v>0</v>
      </c>
      <c r="D230" s="4" t="n">
        <v>29</v>
      </c>
      <c r="E230" s="4">
        <f>SUM(B230:D230)</f>
        <v/>
      </c>
    </row>
    <row r="231">
      <c r="A231" s="4" t="inlineStr">
        <is>
          <t>Medium</t>
        </is>
      </c>
      <c r="B231" s="4" t="n">
        <v>0</v>
      </c>
      <c r="C231" s="4" t="n">
        <v>0</v>
      </c>
      <c r="D231" s="4" t="n">
        <v>1</v>
      </c>
      <c r="E231" s="4">
        <f>SUM(B231:D231)</f>
        <v/>
      </c>
    </row>
    <row r="232">
      <c r="A232" s="4" t="inlineStr">
        <is>
          <t>Low</t>
        </is>
      </c>
      <c r="B232" s="4" t="n">
        <v>0</v>
      </c>
      <c r="C232" s="4" t="n">
        <v>0</v>
      </c>
      <c r="D232" s="4" t="n">
        <v>0</v>
      </c>
      <c r="E232" s="4">
        <f>SUM(B232:D232)</f>
        <v/>
      </c>
    </row>
    <row r="233">
      <c r="A233" s="6" t="inlineStr">
        <is>
          <t>Total</t>
        </is>
      </c>
      <c r="B233" s="6">
        <f>SUM(B230:B232)</f>
        <v/>
      </c>
      <c r="C233" s="6">
        <f>SUM(C230:C232)</f>
        <v/>
      </c>
      <c r="D233" s="6">
        <f>SUM(D230:D232)</f>
        <v/>
      </c>
      <c r="E233" s="6">
        <f>SUM(E230:E232)</f>
        <v/>
      </c>
    </row>
    <row r="244">
      <c r="A244" s="7" t="inlineStr">
        <is>
          <t>MX-SCH · Schneider general services (Monterrey) (checklist)</t>
        </is>
      </c>
    </row>
    <row r="245">
      <c r="A245" s="3" t="inlineStr">
        <is>
          <t>Criticality</t>
        </is>
      </c>
      <c r="B245" s="3" t="inlineStr">
        <is>
          <t>Compliant</t>
        </is>
      </c>
      <c r="C245" s="3" t="inlineStr">
        <is>
          <t>Partially compliant</t>
        </is>
      </c>
      <c r="D245" s="3" t="inlineStr">
        <is>
          <t>Non-compliant</t>
        </is>
      </c>
      <c r="E245" s="3" t="inlineStr">
        <is>
          <t>Total</t>
        </is>
      </c>
    </row>
    <row r="246">
      <c r="A246" s="4" t="inlineStr">
        <is>
          <t>High</t>
        </is>
      </c>
      <c r="B246" s="4" t="n">
        <v>3</v>
      </c>
      <c r="C246" s="4" t="n">
        <v>0</v>
      </c>
      <c r="D246" s="4" t="n">
        <v>3</v>
      </c>
      <c r="E246" s="4">
        <f>SUM(B246:D246)</f>
        <v/>
      </c>
    </row>
    <row r="247">
      <c r="A247" s="4" t="inlineStr">
        <is>
          <t>Medium</t>
        </is>
      </c>
      <c r="B247" s="4" t="n">
        <v>6</v>
      </c>
      <c r="C247" s="4" t="n">
        <v>1</v>
      </c>
      <c r="D247" s="4" t="n">
        <v>2</v>
      </c>
      <c r="E247" s="4">
        <f>SUM(B247:D247)</f>
        <v/>
      </c>
    </row>
    <row r="248">
      <c r="A248" s="4" t="inlineStr">
        <is>
          <t>Low</t>
        </is>
      </c>
      <c r="B248" s="4" t="n">
        <v>4</v>
      </c>
      <c r="C248" s="4" t="n">
        <v>1</v>
      </c>
      <c r="D248" s="4" t="n">
        <v>2</v>
      </c>
      <c r="E248" s="4">
        <f>SUM(B248:D248)</f>
        <v/>
      </c>
    </row>
    <row r="249">
      <c r="A249" s="6" t="inlineStr">
        <is>
          <t>Total</t>
        </is>
      </c>
      <c r="B249" s="6">
        <f>SUM(B246:B248)</f>
        <v/>
      </c>
      <c r="C249" s="6">
        <f>SUM(C246:C248)</f>
        <v/>
      </c>
      <c r="D249" s="6">
        <f>SUM(D246:D248)</f>
        <v/>
      </c>
      <c r="E249" s="6">
        <f>SUM(E246:E248)</f>
        <v/>
      </c>
    </row>
    <row r="260">
      <c r="A260" s="7" t="inlineStr">
        <is>
          <t>MX-CHE · Chetumal general services (checklist)</t>
        </is>
      </c>
    </row>
    <row r="261">
      <c r="A261" s="3" t="inlineStr">
        <is>
          <t>Criticality</t>
        </is>
      </c>
      <c r="B261" s="3" t="inlineStr">
        <is>
          <t>Compliant</t>
        </is>
      </c>
      <c r="C261" s="3" t="inlineStr">
        <is>
          <t>Partially compliant</t>
        </is>
      </c>
      <c r="D261" s="3" t="inlineStr">
        <is>
          <t>Non-compliant</t>
        </is>
      </c>
      <c r="E261" s="3" t="inlineStr">
        <is>
          <t>Total</t>
        </is>
      </c>
    </row>
    <row r="262">
      <c r="A262" s="4" t="inlineStr">
        <is>
          <t>High</t>
        </is>
      </c>
      <c r="B262" s="4" t="n">
        <v>7</v>
      </c>
      <c r="C262" s="4" t="n">
        <v>0</v>
      </c>
      <c r="D262" s="4" t="n">
        <v>15</v>
      </c>
      <c r="E262" s="4">
        <f>SUM(B262:D262)</f>
        <v/>
      </c>
    </row>
    <row r="263">
      <c r="A263" s="4" t="inlineStr">
        <is>
          <t>Medium</t>
        </is>
      </c>
      <c r="B263" s="4" t="n">
        <v>1</v>
      </c>
      <c r="C263" s="4" t="n">
        <v>0</v>
      </c>
      <c r="D263" s="4" t="n">
        <v>0</v>
      </c>
      <c r="E263" s="4">
        <f>SUM(B263:D263)</f>
        <v/>
      </c>
    </row>
    <row r="264">
      <c r="A264" s="4" t="inlineStr">
        <is>
          <t>Low</t>
        </is>
      </c>
      <c r="B264" s="4" t="n">
        <v>0</v>
      </c>
      <c r="C264" s="4" t="n">
        <v>0</v>
      </c>
      <c r="D264" s="4" t="n">
        <v>0</v>
      </c>
      <c r="E264" s="4">
        <f>SUM(B264:D264)</f>
        <v/>
      </c>
    </row>
    <row r="265">
      <c r="A265" s="6" t="inlineStr">
        <is>
          <t>Total</t>
        </is>
      </c>
      <c r="B265" s="6">
        <f>SUM(B262:B264)</f>
        <v/>
      </c>
      <c r="C265" s="6">
        <f>SUM(C262:C264)</f>
        <v/>
      </c>
      <c r="D265" s="6">
        <f>SUM(D262:D264)</f>
        <v/>
      </c>
      <c r="E265" s="6">
        <f>SUM(E262:E264)</f>
        <v/>
      </c>
    </row>
    <row r="276">
      <c r="A276" s="7" t="inlineStr">
        <is>
          <t>CO-EPC · EPC Solar project (deck)</t>
        </is>
      </c>
    </row>
    <row r="277">
      <c r="A277" s="3" t="inlineStr">
        <is>
          <t>Criticality</t>
        </is>
      </c>
      <c r="B277" s="3" t="inlineStr">
        <is>
          <t>Compliant</t>
        </is>
      </c>
      <c r="C277" s="3" t="inlineStr">
        <is>
          <t>Partially compliant</t>
        </is>
      </c>
      <c r="D277" s="3" t="inlineStr">
        <is>
          <t>Non-compliant</t>
        </is>
      </c>
      <c r="E277" s="3" t="inlineStr">
        <is>
          <t>Total</t>
        </is>
      </c>
    </row>
    <row r="278">
      <c r="A278" s="4" t="inlineStr">
        <is>
          <t>High</t>
        </is>
      </c>
      <c r="B278" s="4" t="n">
        <v>6</v>
      </c>
      <c r="C278" s="4" t="n">
        <v>0</v>
      </c>
      <c r="D278" s="4" t="n">
        <v>10</v>
      </c>
      <c r="E278" s="4">
        <f>SUM(B278:D278)</f>
        <v/>
      </c>
    </row>
    <row r="279">
      <c r="A279" s="4" t="inlineStr">
        <is>
          <t>Medium</t>
        </is>
      </c>
      <c r="B279" s="4" t="n">
        <v>3</v>
      </c>
      <c r="C279" s="4" t="n">
        <v>4</v>
      </c>
      <c r="D279" s="4" t="n">
        <v>12</v>
      </c>
      <c r="E279" s="4">
        <f>SUM(B279:D279)</f>
        <v/>
      </c>
    </row>
    <row r="280">
      <c r="A280" s="4" t="inlineStr">
        <is>
          <t>Low</t>
        </is>
      </c>
      <c r="B280" s="4" t="n">
        <v>1</v>
      </c>
      <c r="C280" s="4" t="n">
        <v>2</v>
      </c>
      <c r="D280" s="4" t="n">
        <v>1</v>
      </c>
      <c r="E280" s="4">
        <f>SUM(B280:D280)</f>
        <v/>
      </c>
    </row>
    <row r="281">
      <c r="A281" s="6" t="inlineStr">
        <is>
          <t>Total</t>
        </is>
      </c>
      <c r="B281" s="6">
        <f>SUM(B278:B280)</f>
        <v/>
      </c>
      <c r="C281" s="6">
        <f>SUM(C278:C280)</f>
        <v/>
      </c>
      <c r="D281" s="6">
        <f>SUM(D278:D280)</f>
        <v/>
      </c>
      <c r="E281" s="6">
        <f>SUM(E278:E280)</f>
        <v/>
      </c>
    </row>
    <row r="292">
      <c r="A292" s="7" t="inlineStr">
        <is>
          <t>CO-HOM · Home-office (teleworking) (deck)</t>
        </is>
      </c>
    </row>
    <row r="293">
      <c r="A293" s="3" t="inlineStr">
        <is>
          <t>Criticality</t>
        </is>
      </c>
      <c r="B293" s="3" t="inlineStr">
        <is>
          <t>Compliant</t>
        </is>
      </c>
      <c r="C293" s="3" t="inlineStr">
        <is>
          <t>Partially compliant</t>
        </is>
      </c>
      <c r="D293" s="3" t="inlineStr">
        <is>
          <t>Non-compliant</t>
        </is>
      </c>
      <c r="E293" s="3" t="inlineStr">
        <is>
          <t>Total</t>
        </is>
      </c>
    </row>
    <row r="294">
      <c r="A294" s="4" t="inlineStr">
        <is>
          <t>High</t>
        </is>
      </c>
      <c r="B294" s="4" t="n">
        <v>3</v>
      </c>
      <c r="C294" s="4" t="n">
        <v>1</v>
      </c>
      <c r="D294" s="4" t="n">
        <v>1</v>
      </c>
      <c r="E294" s="4">
        <f>SUM(B294:D294)</f>
        <v/>
      </c>
    </row>
    <row r="295">
      <c r="A295" s="4" t="inlineStr">
        <is>
          <t>Medium</t>
        </is>
      </c>
      <c r="B295" s="4" t="n">
        <v>1</v>
      </c>
      <c r="C295" s="4" t="n">
        <v>1</v>
      </c>
      <c r="D295" s="4" t="n">
        <v>2</v>
      </c>
      <c r="E295" s="4">
        <f>SUM(B295:D295)</f>
        <v/>
      </c>
    </row>
    <row r="296">
      <c r="A296" s="4" t="inlineStr">
        <is>
          <t>Low</t>
        </is>
      </c>
      <c r="B296" s="4" t="n">
        <v>1</v>
      </c>
      <c r="C296" s="4" t="n">
        <v>2</v>
      </c>
      <c r="D296" s="4" t="n">
        <v>9</v>
      </c>
      <c r="E296" s="4">
        <f>SUM(B296:D296)</f>
        <v/>
      </c>
    </row>
    <row r="297">
      <c r="A297" s="6" t="inlineStr">
        <is>
          <t>Total</t>
        </is>
      </c>
      <c r="B297" s="6">
        <f>SUM(B294:B296)</f>
        <v/>
      </c>
      <c r="C297" s="6">
        <f>SUM(C294:C296)</f>
        <v/>
      </c>
      <c r="D297" s="6">
        <f>SUM(D294:D296)</f>
        <v/>
      </c>
      <c r="E297" s="6">
        <f>SUM(E294:E296)</f>
        <v/>
      </c>
    </row>
    <row r="308">
      <c r="A308" s="7" t="inlineStr">
        <is>
          <t>FR-OFF · Villeurbanne Office (deck)</t>
        </is>
      </c>
    </row>
    <row r="309">
      <c r="A309" s="3" t="inlineStr">
        <is>
          <t>Criticality</t>
        </is>
      </c>
      <c r="B309" s="3" t="inlineStr">
        <is>
          <t>Compliant</t>
        </is>
      </c>
      <c r="C309" s="3" t="inlineStr">
        <is>
          <t>Partially compliant</t>
        </is>
      </c>
      <c r="D309" s="3" t="inlineStr">
        <is>
          <t>Non-compliant</t>
        </is>
      </c>
      <c r="E309" s="3" t="inlineStr">
        <is>
          <t>Total</t>
        </is>
      </c>
    </row>
    <row r="310">
      <c r="A310" s="4" t="inlineStr">
        <is>
          <t>High</t>
        </is>
      </c>
      <c r="B310" s="4" t="n">
        <v>0</v>
      </c>
      <c r="C310" s="4" t="n">
        <v>0</v>
      </c>
      <c r="D310" s="4" t="n">
        <v>3</v>
      </c>
      <c r="E310" s="4">
        <f>SUM(B310:D310)</f>
        <v/>
      </c>
    </row>
    <row r="311">
      <c r="A311" s="4" t="inlineStr">
        <is>
          <t>Medium</t>
        </is>
      </c>
      <c r="B311" s="4" t="n">
        <v>0</v>
      </c>
      <c r="C311" s="4" t="n">
        <v>0</v>
      </c>
      <c r="D311" s="4" t="n">
        <v>5</v>
      </c>
      <c r="E311" s="4">
        <f>SUM(B311:D311)</f>
        <v/>
      </c>
    </row>
    <row r="312">
      <c r="A312" s="4" t="inlineStr">
        <is>
          <t>Low</t>
        </is>
      </c>
      <c r="B312" s="4" t="n">
        <v>0</v>
      </c>
      <c r="C312" s="4" t="n">
        <v>0</v>
      </c>
      <c r="D312" s="4" t="n">
        <v>10</v>
      </c>
      <c r="E312" s="4">
        <f>SUM(B312:D312)</f>
        <v/>
      </c>
    </row>
    <row r="313">
      <c r="A313" s="6" t="inlineStr">
        <is>
          <t>Total</t>
        </is>
      </c>
      <c r="B313" s="6">
        <f>SUM(B310:B312)</f>
        <v/>
      </c>
      <c r="C313" s="6">
        <f>SUM(C310:C312)</f>
        <v/>
      </c>
      <c r="D313" s="6">
        <f>SUM(D310:D312)</f>
        <v/>
      </c>
      <c r="E313" s="6">
        <f>SUM(E310:E312)</f>
        <v/>
      </c>
    </row>
    <row r="324">
      <c r="A324" s="7" t="inlineStr">
        <is>
          <t>FR-EPC · EPC – subcontractor &amp; logistics (deck)</t>
        </is>
      </c>
    </row>
    <row r="325">
      <c r="A325" s="3" t="inlineStr">
        <is>
          <t>Criticality</t>
        </is>
      </c>
      <c r="B325" s="3" t="inlineStr">
        <is>
          <t>Compliant</t>
        </is>
      </c>
      <c r="C325" s="3" t="inlineStr">
        <is>
          <t>Partially compliant</t>
        </is>
      </c>
      <c r="D325" s="3" t="inlineStr">
        <is>
          <t>Non-compliant</t>
        </is>
      </c>
      <c r="E325" s="3" t="inlineStr">
        <is>
          <t>Total</t>
        </is>
      </c>
    </row>
    <row r="326">
      <c r="A326" s="4" t="inlineStr">
        <is>
          <t>High</t>
        </is>
      </c>
      <c r="B326" s="4" t="n">
        <v>0</v>
      </c>
      <c r="C326" s="4" t="n">
        <v>1</v>
      </c>
      <c r="D326" s="4" t="n">
        <v>5</v>
      </c>
      <c r="E326" s="4">
        <f>SUM(B326:D326)</f>
        <v/>
      </c>
    </row>
    <row r="327">
      <c r="A327" s="4" t="inlineStr">
        <is>
          <t>Medium</t>
        </is>
      </c>
      <c r="B327" s="4" t="n">
        <v>0</v>
      </c>
      <c r="C327" s="4" t="n">
        <v>0</v>
      </c>
      <c r="D327" s="4" t="n">
        <v>4</v>
      </c>
      <c r="E327" s="4">
        <f>SUM(B327:D327)</f>
        <v/>
      </c>
    </row>
    <row r="328">
      <c r="A328" s="4" t="inlineStr">
        <is>
          <t>Low</t>
        </is>
      </c>
      <c r="B328" s="4" t="n">
        <v>0</v>
      </c>
      <c r="C328" s="4" t="n">
        <v>0</v>
      </c>
      <c r="D328" s="4" t="n">
        <v>3</v>
      </c>
      <c r="E328" s="4">
        <f>SUM(B328:D328)</f>
        <v/>
      </c>
    </row>
    <row r="329">
      <c r="A329" s="6" t="inlineStr">
        <is>
          <t>Total</t>
        </is>
      </c>
      <c r="B329" s="6">
        <f>SUM(B326:B328)</f>
        <v/>
      </c>
      <c r="C329" s="6">
        <f>SUM(C326:C328)</f>
        <v/>
      </c>
      <c r="D329" s="6">
        <f>SUM(D326:D328)</f>
        <v/>
      </c>
      <c r="E329" s="6">
        <f>SUM(E326:E328)</f>
        <v/>
      </c>
    </row>
    <row r="340">
      <c r="A340" s="7" t="inlineStr">
        <is>
          <t>GR-ATH · Athens Office (deck)</t>
        </is>
      </c>
    </row>
    <row r="341">
      <c r="A341" s="3" t="inlineStr">
        <is>
          <t>Criticality</t>
        </is>
      </c>
      <c r="B341" s="3" t="inlineStr">
        <is>
          <t>Compliant</t>
        </is>
      </c>
      <c r="C341" s="3" t="inlineStr">
        <is>
          <t>Partially compliant</t>
        </is>
      </c>
      <c r="D341" s="3" t="inlineStr">
        <is>
          <t>Non-compliant</t>
        </is>
      </c>
      <c r="E341" s="3" t="inlineStr">
        <is>
          <t>Total</t>
        </is>
      </c>
    </row>
    <row r="342">
      <c r="A342" s="4" t="inlineStr">
        <is>
          <t>High</t>
        </is>
      </c>
      <c r="B342" s="4" t="n">
        <v>4</v>
      </c>
      <c r="C342" s="4" t="n">
        <v>0</v>
      </c>
      <c r="D342" s="4" t="n">
        <v>3</v>
      </c>
      <c r="E342" s="4">
        <f>SUM(B342:D342)</f>
        <v/>
      </c>
    </row>
    <row r="343">
      <c r="A343" s="4" t="inlineStr">
        <is>
          <t>Medium</t>
        </is>
      </c>
      <c r="B343" s="4" t="n">
        <v>4</v>
      </c>
      <c r="C343" s="4" t="n">
        <v>1</v>
      </c>
      <c r="D343" s="4" t="n">
        <v>3</v>
      </c>
      <c r="E343" s="4">
        <f>SUM(B343:D343)</f>
        <v/>
      </c>
    </row>
    <row r="344">
      <c r="A344" s="4" t="inlineStr">
        <is>
          <t>Low</t>
        </is>
      </c>
      <c r="B344" s="4" t="n">
        <v>1</v>
      </c>
      <c r="C344" s="4" t="n">
        <v>0</v>
      </c>
      <c r="D344" s="4" t="n">
        <v>2</v>
      </c>
      <c r="E344" s="4">
        <f>SUM(B344:D344)</f>
        <v/>
      </c>
    </row>
    <row r="345">
      <c r="A345" s="6" t="inlineStr">
        <is>
          <t>Total</t>
        </is>
      </c>
      <c r="B345" s="6">
        <f>SUM(B342:B344)</f>
        <v/>
      </c>
      <c r="C345" s="6">
        <f>SUM(C342:C344)</f>
        <v/>
      </c>
      <c r="D345" s="6">
        <f>SUM(D342:D344)</f>
        <v/>
      </c>
      <c r="E345" s="6">
        <f>SUM(E342:E344)</f>
        <v/>
      </c>
    </row>
    <row r="356">
      <c r="A356" s="7" t="inlineStr">
        <is>
          <t>IT-BUC · Buccinasco Office (HQ) (deck)</t>
        </is>
      </c>
    </row>
    <row r="357">
      <c r="A357" s="3" t="inlineStr">
        <is>
          <t>Criticality</t>
        </is>
      </c>
      <c r="B357" s="3" t="inlineStr">
        <is>
          <t>Compliant</t>
        </is>
      </c>
      <c r="C357" s="3" t="inlineStr">
        <is>
          <t>Partially compliant</t>
        </is>
      </c>
      <c r="D357" s="3" t="inlineStr">
        <is>
          <t>Non-compliant</t>
        </is>
      </c>
      <c r="E357" s="3" t="inlineStr">
        <is>
          <t>Total</t>
        </is>
      </c>
    </row>
    <row r="358">
      <c r="A358" s="4" t="inlineStr">
        <is>
          <t>High</t>
        </is>
      </c>
      <c r="B358" s="4" t="n">
        <v>11</v>
      </c>
      <c r="C358" s="4" t="n">
        <v>2</v>
      </c>
      <c r="D358" s="4" t="n">
        <v>0</v>
      </c>
      <c r="E358" s="4">
        <f>SUM(B358:D358)</f>
        <v/>
      </c>
    </row>
    <row r="359">
      <c r="A359" s="4" t="inlineStr">
        <is>
          <t>Medium</t>
        </is>
      </c>
      <c r="B359" s="4" t="n">
        <v>14</v>
      </c>
      <c r="C359" s="4" t="n">
        <v>2</v>
      </c>
      <c r="D359" s="4" t="n">
        <v>1</v>
      </c>
      <c r="E359" s="4">
        <f>SUM(B359:D359)</f>
        <v/>
      </c>
    </row>
    <row r="360">
      <c r="A360" s="4" t="inlineStr">
        <is>
          <t>Low</t>
        </is>
      </c>
      <c r="B360" s="4" t="n">
        <v>3</v>
      </c>
      <c r="C360" s="4" t="n">
        <v>4</v>
      </c>
      <c r="D360" s="4" t="n">
        <v>0</v>
      </c>
      <c r="E360" s="4">
        <f>SUM(B360:D360)</f>
        <v/>
      </c>
    </row>
    <row r="361">
      <c r="A361" s="6" t="inlineStr">
        <is>
          <t>Total</t>
        </is>
      </c>
      <c r="B361" s="6">
        <f>SUM(B358:B360)</f>
        <v/>
      </c>
      <c r="C361" s="6">
        <f>SUM(C358:C360)</f>
        <v/>
      </c>
      <c r="D361" s="6">
        <f>SUM(D358:D360)</f>
        <v/>
      </c>
      <c r="E361" s="6">
        <f>SUM(E358:E360)</f>
        <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28"/>
  <sheetViews>
    <sheetView workbookViewId="0">
      <selection activeCell="A1" sqref="A1"/>
    </sheetView>
  </sheetViews>
  <sheetFormatPr baseColWidth="8" defaultRowHeight="15"/>
  <cols>
    <col width="9" customWidth="1" min="1" max="1"/>
    <col width="36" customWidth="1" min="2" max="2"/>
    <col width="11" customWidth="1" min="3" max="3"/>
    <col width="12" customWidth="1" min="4" max="4"/>
    <col width="13" customWidth="1" min="5" max="5"/>
    <col width="12" customWidth="1" min="6" max="6"/>
    <col width="11" customWidth="1" min="7" max="7"/>
    <col width="9" customWidth="1" min="8" max="8"/>
    <col width="14" customWidth="1" min="9" max="9"/>
  </cols>
  <sheetData>
    <row r="1">
      <c r="A1" s="1" t="inlineStr">
        <is>
          <t>Overall status of all checklist items per site</t>
        </is>
      </c>
    </row>
    <row r="2">
      <c r="A2" s="2" t="inlineStr">
        <is>
          <t>Counts of normalised status from the checklists.</t>
        </is>
      </c>
    </row>
    <row r="4">
      <c r="A4" s="3" t="inlineStr">
        <is>
          <t>Site ID</t>
        </is>
      </c>
      <c r="B4" s="3" t="inlineStr">
        <is>
          <t>Site</t>
        </is>
      </c>
      <c r="C4" s="3" t="inlineStr">
        <is>
          <t>Compliant</t>
        </is>
      </c>
      <c r="D4" s="3" t="inlineStr">
        <is>
          <t>Partially compliant</t>
        </is>
      </c>
      <c r="E4" s="3" t="inlineStr">
        <is>
          <t>Non-compliant</t>
        </is>
      </c>
      <c r="F4" s="3" t="inlineStr">
        <is>
          <t>Not applicable</t>
        </is>
      </c>
      <c r="G4" s="3" t="inlineStr">
        <is>
          <t>Not assessed</t>
        </is>
      </c>
      <c r="H4" s="3" t="inlineStr">
        <is>
          <t>Total</t>
        </is>
      </c>
      <c r="I4" s="3" t="inlineStr">
        <is>
          <t>High-criticality gaps</t>
        </is>
      </c>
    </row>
    <row r="5">
      <c r="A5" s="4" t="inlineStr">
        <is>
          <t>ES-VIT</t>
        </is>
      </c>
      <c r="B5" s="4" t="inlineStr">
        <is>
          <t>Vitoria Factory</t>
        </is>
      </c>
      <c r="C5" s="4" t="n">
        <v>3</v>
      </c>
      <c r="D5" s="4" t="n">
        <v>33</v>
      </c>
      <c r="E5" s="4" t="n">
        <v>31</v>
      </c>
      <c r="F5" s="4" t="n">
        <v>14</v>
      </c>
      <c r="G5" s="4" t="n">
        <v>0</v>
      </c>
      <c r="H5" s="4">
        <f>SUM(C5:G5)</f>
        <v/>
      </c>
      <c r="I5" s="4" t="n">
        <v>28</v>
      </c>
    </row>
    <row r="6">
      <c r="A6" s="4" t="inlineStr">
        <is>
          <t>ES-MEC</t>
        </is>
      </c>
      <c r="B6" s="4" t="inlineStr">
        <is>
          <t>Meco Warehouse</t>
        </is>
      </c>
      <c r="C6" s="4" t="n">
        <v>24</v>
      </c>
      <c r="D6" s="4" t="n">
        <v>19</v>
      </c>
      <c r="E6" s="4" t="n">
        <v>26</v>
      </c>
      <c r="F6" s="4" t="n">
        <v>9</v>
      </c>
      <c r="G6" s="4" t="n">
        <v>0</v>
      </c>
      <c r="H6" s="4">
        <f>SUM(C6:G6)</f>
        <v/>
      </c>
      <c r="I6" s="4" t="n">
        <v>22</v>
      </c>
    </row>
    <row r="7">
      <c r="A7" s="4" t="inlineStr">
        <is>
          <t>ES-SEV</t>
        </is>
      </c>
      <c r="B7" s="4" t="inlineStr">
        <is>
          <t>Sevilla Warehouse</t>
        </is>
      </c>
      <c r="C7" s="4" t="n">
        <v>24</v>
      </c>
      <c r="D7" s="4" t="n">
        <v>18</v>
      </c>
      <c r="E7" s="4" t="n">
        <v>12</v>
      </c>
      <c r="F7" s="4" t="n">
        <v>24</v>
      </c>
      <c r="G7" s="4" t="n">
        <v>0</v>
      </c>
      <c r="H7" s="4">
        <f>SUM(C7:G7)</f>
        <v/>
      </c>
      <c r="I7" s="4" t="n">
        <v>15</v>
      </c>
    </row>
    <row r="8">
      <c r="A8" s="4" t="inlineStr">
        <is>
          <t>ES-VAL</t>
        </is>
      </c>
      <c r="B8" s="4" t="inlineStr">
        <is>
          <t>Valencia Warehouse</t>
        </is>
      </c>
      <c r="C8" s="4" t="n">
        <v>21</v>
      </c>
      <c r="D8" s="4" t="n">
        <v>28</v>
      </c>
      <c r="E8" s="4" t="n">
        <v>8</v>
      </c>
      <c r="F8" s="4" t="n">
        <v>21</v>
      </c>
      <c r="G8" s="4" t="n">
        <v>0</v>
      </c>
      <c r="H8" s="4">
        <f>SUM(C8:G8)</f>
        <v/>
      </c>
      <c r="I8" s="4" t="n">
        <v>16</v>
      </c>
    </row>
    <row r="9">
      <c r="A9" s="4" t="inlineStr">
        <is>
          <t>ES-BUR</t>
        </is>
      </c>
      <c r="B9" s="4" t="inlineStr">
        <is>
          <t>Burgos Warehouse</t>
        </is>
      </c>
      <c r="C9" s="4" t="n">
        <v>11</v>
      </c>
      <c r="D9" s="4" t="n">
        <v>38</v>
      </c>
      <c r="E9" s="4" t="n">
        <v>5</v>
      </c>
      <c r="F9" s="4" t="n">
        <v>18</v>
      </c>
      <c r="G9" s="4" t="n">
        <v>0</v>
      </c>
      <c r="H9" s="4">
        <f>SUM(C9:G9)</f>
        <v/>
      </c>
      <c r="I9" s="4" t="n">
        <v>13</v>
      </c>
    </row>
    <row r="10">
      <c r="A10" s="4" t="inlineStr">
        <is>
          <t>ES-AND</t>
        </is>
      </c>
      <c r="B10" s="4" t="inlineStr">
        <is>
          <t>Andoain Warehouse</t>
        </is>
      </c>
      <c r="C10" s="4" t="n">
        <v>2</v>
      </c>
      <c r="D10" s="4" t="n">
        <v>13</v>
      </c>
      <c r="E10" s="4" t="n">
        <v>34</v>
      </c>
      <c r="F10" s="4" t="n">
        <v>9</v>
      </c>
      <c r="G10" s="4" t="n">
        <v>0</v>
      </c>
      <c r="H10" s="4">
        <f>SUM(C10:G10)</f>
        <v/>
      </c>
      <c r="I10" s="4" t="n">
        <v>20</v>
      </c>
    </row>
    <row r="11">
      <c r="A11" s="4" t="inlineStr">
        <is>
          <t>ES-MAD</t>
        </is>
      </c>
      <c r="B11" s="4" t="inlineStr">
        <is>
          <t>Madrid Office</t>
        </is>
      </c>
      <c r="C11" s="4" t="n">
        <v>14</v>
      </c>
      <c r="D11" s="4" t="n">
        <v>11</v>
      </c>
      <c r="E11" s="4" t="n">
        <v>6</v>
      </c>
      <c r="F11" s="4" t="n">
        <v>0</v>
      </c>
      <c r="G11" s="4" t="n">
        <v>0</v>
      </c>
      <c r="H11" s="4">
        <f>SUM(C11:G11)</f>
        <v/>
      </c>
      <c r="I11" s="4" t="n">
        <v>1</v>
      </c>
    </row>
    <row r="12">
      <c r="A12" s="4" t="inlineStr">
        <is>
          <t>ES-ACO</t>
        </is>
      </c>
      <c r="B12" s="4" t="inlineStr">
        <is>
          <t>A Coruña – Repsol in-house warehouse</t>
        </is>
      </c>
      <c r="C12" s="4" t="n">
        <v>10</v>
      </c>
      <c r="D12" s="4" t="n">
        <v>1</v>
      </c>
      <c r="E12" s="4" t="n">
        <v>0</v>
      </c>
      <c r="F12" s="4" t="n">
        <v>0</v>
      </c>
      <c r="G12" s="4" t="n">
        <v>0</v>
      </c>
      <c r="H12" s="4">
        <f>SUM(C12:G12)</f>
        <v/>
      </c>
      <c r="I12" s="4" t="n">
        <v>0</v>
      </c>
    </row>
    <row r="13">
      <c r="A13" s="4" t="inlineStr">
        <is>
          <t>PT-AVE</t>
        </is>
      </c>
      <c r="B13" s="4" t="inlineStr">
        <is>
          <t>Aveiro Office</t>
        </is>
      </c>
      <c r="C13" s="4" t="n">
        <v>17</v>
      </c>
      <c r="D13" s="4" t="n">
        <v>14</v>
      </c>
      <c r="E13" s="4" t="n">
        <v>6</v>
      </c>
      <c r="F13" s="4" t="n">
        <v>8</v>
      </c>
      <c r="G13" s="4" t="n">
        <v>0</v>
      </c>
      <c r="H13" s="4">
        <f>SUM(C13:G13)</f>
        <v/>
      </c>
      <c r="I13" s="4" t="n">
        <v>4</v>
      </c>
    </row>
    <row r="14">
      <c r="A14" s="4" t="inlineStr">
        <is>
          <t>MX-MTY</t>
        </is>
      </c>
      <c r="B14" s="4" t="inlineStr">
        <is>
          <t>Monterrey Warehouse (owned)</t>
        </is>
      </c>
      <c r="C14" s="4" t="n">
        <v>53</v>
      </c>
      <c r="D14" s="4" t="n">
        <v>13</v>
      </c>
      <c r="E14" s="4" t="n">
        <v>6</v>
      </c>
      <c r="F14" s="4" t="n">
        <v>9</v>
      </c>
      <c r="G14" s="4" t="n">
        <v>0</v>
      </c>
      <c r="H14" s="4">
        <f>SUM(C14:G14)</f>
        <v/>
      </c>
      <c r="I14" s="4" t="n">
        <v>12</v>
      </c>
    </row>
    <row r="15">
      <c r="A15" s="4" t="inlineStr">
        <is>
          <t>MX-CDMX</t>
        </is>
      </c>
      <c r="B15" s="4" t="inlineStr">
        <is>
          <t>CDMX Office</t>
        </is>
      </c>
      <c r="C15" s="4" t="n">
        <v>35</v>
      </c>
      <c r="D15" s="4" t="n">
        <v>6</v>
      </c>
      <c r="E15" s="4" t="n">
        <v>4</v>
      </c>
      <c r="F15" s="4" t="n">
        <v>2</v>
      </c>
      <c r="G15" s="4" t="n">
        <v>0</v>
      </c>
      <c r="H15" s="4">
        <f>SUM(C15:G15)</f>
        <v/>
      </c>
      <c r="I15" s="4" t="n">
        <v>5</v>
      </c>
    </row>
    <row r="16">
      <c r="A16" s="4" t="inlineStr">
        <is>
          <t>MX-INO</t>
        </is>
      </c>
      <c r="B16" s="4" t="inlineStr">
        <is>
          <t>EPC INOAC</t>
        </is>
      </c>
      <c r="C16" s="4" t="n">
        <v>27</v>
      </c>
      <c r="D16" s="4" t="n">
        <v>3</v>
      </c>
      <c r="E16" s="4" t="n">
        <v>6</v>
      </c>
      <c r="F16" s="4" t="n">
        <v>2</v>
      </c>
      <c r="G16" s="4" t="n">
        <v>0</v>
      </c>
      <c r="H16" s="4">
        <f>SUM(C16:G16)</f>
        <v/>
      </c>
      <c r="I16" s="4" t="n">
        <v>3</v>
      </c>
    </row>
    <row r="17">
      <c r="A17" s="4" t="inlineStr">
        <is>
          <t>MX-IBE</t>
        </is>
      </c>
      <c r="B17" s="4" t="inlineStr">
        <is>
          <t>Iberdrola in-house warehouse</t>
        </is>
      </c>
      <c r="C17" s="4" t="n">
        <v>4</v>
      </c>
      <c r="D17" s="4" t="n">
        <v>12</v>
      </c>
      <c r="E17" s="4" t="n">
        <v>14</v>
      </c>
      <c r="F17" s="4" t="n">
        <v>0</v>
      </c>
      <c r="G17" s="4" t="n">
        <v>0</v>
      </c>
      <c r="H17" s="4">
        <f>SUM(C17:G17)</f>
        <v/>
      </c>
      <c r="I17" s="4" t="n">
        <v>13</v>
      </c>
    </row>
    <row r="18">
      <c r="A18" s="4" t="inlineStr">
        <is>
          <t>MX-BRA</t>
        </is>
      </c>
      <c r="B18" s="4" t="inlineStr">
        <is>
          <t>Braskem in-house warehouse</t>
        </is>
      </c>
      <c r="C18" s="4" t="n">
        <v>23</v>
      </c>
      <c r="D18" s="4" t="n">
        <v>3</v>
      </c>
      <c r="E18" s="4" t="n">
        <v>4</v>
      </c>
      <c r="F18" s="4" t="n">
        <v>0</v>
      </c>
      <c r="G18" s="4" t="n">
        <v>0</v>
      </c>
      <c r="H18" s="4">
        <f>SUM(C18:G18)</f>
        <v/>
      </c>
      <c r="I18" s="4" t="n">
        <v>3</v>
      </c>
    </row>
    <row r="19">
      <c r="A19" s="4" t="inlineStr">
        <is>
          <t>MX-ALT</t>
        </is>
      </c>
      <c r="B19" s="4" t="inlineStr">
        <is>
          <t>Altamira – Quantum warehouse &amp; services</t>
        </is>
      </c>
      <c r="C19" s="4" t="n">
        <v>0</v>
      </c>
      <c r="D19" s="4" t="n">
        <v>0</v>
      </c>
      <c r="E19" s="4" t="n">
        <v>30</v>
      </c>
      <c r="F19" s="4" t="n">
        <v>0</v>
      </c>
      <c r="G19" s="4" t="n">
        <v>0</v>
      </c>
      <c r="H19" s="4">
        <f>SUM(C19:G19)</f>
        <v/>
      </c>
      <c r="I19" s="4" t="n">
        <v>29</v>
      </c>
    </row>
    <row r="20">
      <c r="A20" s="4" t="inlineStr">
        <is>
          <t>MX-SCH</t>
        </is>
      </c>
      <c r="B20" s="4" t="inlineStr">
        <is>
          <t>Schneider general services (Monterrey)</t>
        </is>
      </c>
      <c r="C20" s="4" t="n">
        <v>13</v>
      </c>
      <c r="D20" s="4" t="n">
        <v>2</v>
      </c>
      <c r="E20" s="4" t="n">
        <v>7</v>
      </c>
      <c r="F20" s="4" t="n">
        <v>3</v>
      </c>
      <c r="G20" s="4" t="n">
        <v>0</v>
      </c>
      <c r="H20" s="4">
        <f>SUM(C20:G20)</f>
        <v/>
      </c>
      <c r="I20" s="4" t="n">
        <v>3</v>
      </c>
    </row>
    <row r="21">
      <c r="A21" s="4" t="inlineStr">
        <is>
          <t>MX-CHE</t>
        </is>
      </c>
      <c r="B21" s="4" t="inlineStr">
        <is>
          <t>Chetumal general services</t>
        </is>
      </c>
      <c r="C21" s="4" t="n">
        <v>8</v>
      </c>
      <c r="D21" s="4" t="n">
        <v>0</v>
      </c>
      <c r="E21" s="4" t="n">
        <v>15</v>
      </c>
      <c r="F21" s="4" t="n">
        <v>2</v>
      </c>
      <c r="G21" s="4" t="n">
        <v>0</v>
      </c>
      <c r="H21" s="4">
        <f>SUM(C21:G21)</f>
        <v/>
      </c>
      <c r="I21" s="4" t="n">
        <v>15</v>
      </c>
    </row>
    <row r="22">
      <c r="A22" s="4" t="inlineStr">
        <is>
          <t>CO-EPC</t>
        </is>
      </c>
      <c r="B22" s="4" t="inlineStr">
        <is>
          <t>EPC Solar project</t>
        </is>
      </c>
      <c r="C22" s="4" t="n">
        <v>9</v>
      </c>
      <c r="D22" s="4" t="n">
        <v>6</v>
      </c>
      <c r="E22" s="4" t="n">
        <v>24</v>
      </c>
      <c r="F22" s="4" t="n">
        <v>10</v>
      </c>
      <c r="G22" s="4" t="n">
        <v>0</v>
      </c>
      <c r="H22" s="4">
        <f>SUM(C22:G22)</f>
        <v/>
      </c>
      <c r="I22" s="4" t="n">
        <v>12</v>
      </c>
    </row>
    <row r="23">
      <c r="A23" s="4" t="inlineStr">
        <is>
          <t>CO-HOM</t>
        </is>
      </c>
      <c r="B23" s="4" t="inlineStr">
        <is>
          <t>Home-office (teleworking)</t>
        </is>
      </c>
      <c r="C23" s="4" t="n">
        <v>5</v>
      </c>
      <c r="D23" s="4" t="n">
        <v>4</v>
      </c>
      <c r="E23" s="4" t="n">
        <v>12</v>
      </c>
      <c r="F23" s="4" t="n">
        <v>0</v>
      </c>
      <c r="G23" s="4" t="n">
        <v>0</v>
      </c>
      <c r="H23" s="4">
        <f>SUM(C23:G23)</f>
        <v/>
      </c>
      <c r="I23" s="4" t="n">
        <v>2</v>
      </c>
    </row>
    <row r="24">
      <c r="A24" s="4" t="inlineStr">
        <is>
          <t>FR-OFF</t>
        </is>
      </c>
      <c r="B24" s="4" t="inlineStr">
        <is>
          <t>Villeurbanne Office</t>
        </is>
      </c>
      <c r="C24" s="4" t="n">
        <v>0</v>
      </c>
      <c r="D24" s="4" t="n">
        <v>0</v>
      </c>
      <c r="E24" s="4" t="n">
        <v>30</v>
      </c>
      <c r="F24" s="4" t="n">
        <v>0</v>
      </c>
      <c r="G24" s="4" t="n">
        <v>0</v>
      </c>
      <c r="H24" s="4">
        <f>SUM(C24:G24)</f>
        <v/>
      </c>
      <c r="I24" s="4" t="n">
        <v>12</v>
      </c>
    </row>
    <row r="25">
      <c r="A25" s="4" t="inlineStr">
        <is>
          <t>FR-EPC</t>
        </is>
      </c>
      <c r="B25" s="4" t="inlineStr">
        <is>
          <t>EPC – subcontractor &amp; logistics</t>
        </is>
      </c>
      <c r="C25" s="4" t="n">
        <v>0</v>
      </c>
      <c r="D25" s="4" t="n">
        <v>2</v>
      </c>
      <c r="E25" s="4" t="n">
        <v>29</v>
      </c>
      <c r="F25" s="4" t="n">
        <v>0</v>
      </c>
      <c r="G25" s="4" t="n">
        <v>0</v>
      </c>
      <c r="H25" s="4">
        <f>SUM(C25:G25)</f>
        <v/>
      </c>
      <c r="I25" s="4" t="n">
        <v>20</v>
      </c>
    </row>
    <row r="26">
      <c r="A26" s="4" t="inlineStr">
        <is>
          <t>GR-ATH</t>
        </is>
      </c>
      <c r="B26" s="4" t="inlineStr">
        <is>
          <t>Athens Office</t>
        </is>
      </c>
      <c r="C26" s="4" t="n">
        <v>9</v>
      </c>
      <c r="D26" s="4" t="n">
        <v>8</v>
      </c>
      <c r="E26" s="4" t="n">
        <v>10</v>
      </c>
      <c r="F26" s="4" t="n">
        <v>1</v>
      </c>
      <c r="G26" s="4" t="n">
        <v>0</v>
      </c>
      <c r="H26" s="4">
        <f>SUM(C26:G26)</f>
        <v/>
      </c>
      <c r="I26" s="4" t="n">
        <v>8</v>
      </c>
    </row>
    <row r="27">
      <c r="A27" s="4" t="inlineStr">
        <is>
          <t>IT-BUC</t>
        </is>
      </c>
      <c r="B27" s="4" t="inlineStr">
        <is>
          <t>Buccinasco Office (HQ)</t>
        </is>
      </c>
      <c r="C27" s="4" t="n">
        <v>29</v>
      </c>
      <c r="D27" s="4" t="n">
        <v>8</v>
      </c>
      <c r="E27" s="4" t="n">
        <v>1</v>
      </c>
      <c r="F27" s="4" t="n">
        <v>6</v>
      </c>
      <c r="G27" s="4" t="n">
        <v>0</v>
      </c>
      <c r="H27" s="4">
        <f>SUM(C27:G27)</f>
        <v/>
      </c>
      <c r="I27" s="4" t="n">
        <v>2</v>
      </c>
    </row>
    <row r="28">
      <c r="B28" s="6" t="inlineStr">
        <is>
          <t>Total</t>
        </is>
      </c>
      <c r="C28" s="6">
        <f>SUM(C5:C27)</f>
        <v/>
      </c>
      <c r="D28" s="6">
        <f>SUM(D5:D27)</f>
        <v/>
      </c>
      <c r="E28" s="6">
        <f>SUM(E5:E27)</f>
        <v/>
      </c>
      <c r="F28" s="6">
        <f>SUM(F5:F27)</f>
        <v/>
      </c>
      <c r="G28" s="6">
        <f>SUM(G5:G27)</f>
        <v/>
      </c>
      <c r="H28" s="6">
        <f>SUM(H5:H27)</f>
        <v/>
      </c>
      <c r="I28" s="6">
        <f>SUM(I5:I27)</f>
        <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I76"/>
  <sheetViews>
    <sheetView workbookViewId="0">
      <selection activeCell="A1" sqref="A1"/>
    </sheetView>
  </sheetViews>
  <sheetFormatPr baseColWidth="8" defaultRowHeight="15"/>
  <cols>
    <col width="9" customWidth="1" min="1" max="1"/>
    <col width="36" customWidth="1" min="2" max="2"/>
    <col width="12" customWidth="1" min="3" max="3"/>
    <col width="11" customWidth="1" min="4" max="4"/>
    <col width="12" customWidth="1" min="5" max="5"/>
    <col width="13" customWidth="1" min="6" max="6"/>
    <col width="12" customWidth="1" min="7" max="7"/>
    <col width="11" customWidth="1" min="8" max="8"/>
  </cols>
  <sheetData>
    <row r="1">
      <c r="A1" s="1" t="inlineStr">
        <is>
          <t>Checklist records by criticality and status · per site</t>
        </is>
      </c>
    </row>
    <row r="4">
      <c r="A4" s="3" t="inlineStr">
        <is>
          <t>Site ID</t>
        </is>
      </c>
      <c r="B4" s="3" t="inlineStr">
        <is>
          <t>Site</t>
        </is>
      </c>
      <c r="C4" s="3" t="inlineStr">
        <is>
          <t>Criticality</t>
        </is>
      </c>
      <c r="D4" s="3" t="inlineStr">
        <is>
          <t>Compliant</t>
        </is>
      </c>
      <c r="E4" s="3" t="inlineStr">
        <is>
          <t>Partially compliant</t>
        </is>
      </c>
      <c r="F4" s="3" t="inlineStr">
        <is>
          <t>Non-compliant</t>
        </is>
      </c>
      <c r="G4" s="3" t="inlineStr">
        <is>
          <t>Not applicable</t>
        </is>
      </c>
      <c r="H4" s="3" t="inlineStr">
        <is>
          <t>Not assessed</t>
        </is>
      </c>
      <c r="I4" s="8" t="inlineStr">
        <is>
          <t>Total</t>
        </is>
      </c>
    </row>
    <row r="5">
      <c r="A5" s="4" t="inlineStr">
        <is>
          <t>ES-VIT</t>
        </is>
      </c>
      <c r="B5" s="4" t="inlineStr">
        <is>
          <t>Vitoria Factory</t>
        </is>
      </c>
      <c r="C5" s="4" t="inlineStr">
        <is>
          <t>High</t>
        </is>
      </c>
      <c r="D5" s="4" t="n">
        <v>2</v>
      </c>
      <c r="E5" s="4" t="n">
        <v>14</v>
      </c>
      <c r="F5" s="4" t="n">
        <v>14</v>
      </c>
      <c r="G5" s="4" t="n">
        <v>12</v>
      </c>
      <c r="H5" s="4" t="n">
        <v>0</v>
      </c>
      <c r="I5">
        <f>SUM(D5:H5)</f>
        <v/>
      </c>
    </row>
    <row r="6">
      <c r="A6" s="4" t="inlineStr">
        <is>
          <t>ES-VIT</t>
        </is>
      </c>
      <c r="B6" s="4" t="inlineStr">
        <is>
          <t>Vitoria Factory</t>
        </is>
      </c>
      <c r="C6" s="4" t="inlineStr">
        <is>
          <t>Medium</t>
        </is>
      </c>
      <c r="D6" s="4" t="n">
        <v>1</v>
      </c>
      <c r="E6" s="4" t="n">
        <v>18</v>
      </c>
      <c r="F6" s="4" t="n">
        <v>16</v>
      </c>
      <c r="G6" s="4" t="n">
        <v>2</v>
      </c>
      <c r="H6" s="4" t="n">
        <v>0</v>
      </c>
      <c r="I6">
        <f>SUM(D6:H6)</f>
        <v/>
      </c>
    </row>
    <row r="7">
      <c r="A7" s="4" t="inlineStr">
        <is>
          <t>ES-VIT</t>
        </is>
      </c>
      <c r="B7" s="4" t="inlineStr">
        <is>
          <t>Vitoria Factory</t>
        </is>
      </c>
      <c r="C7" s="4" t="inlineStr">
        <is>
          <t>Low</t>
        </is>
      </c>
      <c r="D7" s="4" t="n">
        <v>0</v>
      </c>
      <c r="E7" s="4" t="n">
        <v>1</v>
      </c>
      <c r="F7" s="4" t="n">
        <v>1</v>
      </c>
      <c r="G7" s="4" t="n">
        <v>0</v>
      </c>
      <c r="H7" s="4" t="n">
        <v>0</v>
      </c>
      <c r="I7">
        <f>SUM(D7:H7)</f>
        <v/>
      </c>
    </row>
    <row r="8">
      <c r="A8" s="4" t="inlineStr">
        <is>
          <t>ES-MEC</t>
        </is>
      </c>
      <c r="B8" s="4" t="inlineStr">
        <is>
          <t>Meco Warehouse</t>
        </is>
      </c>
      <c r="C8" s="4" t="inlineStr">
        <is>
          <t>High</t>
        </is>
      </c>
      <c r="D8" s="4" t="n">
        <v>16</v>
      </c>
      <c r="E8" s="4" t="n">
        <v>7</v>
      </c>
      <c r="F8" s="4" t="n">
        <v>15</v>
      </c>
      <c r="G8" s="4" t="n">
        <v>8</v>
      </c>
      <c r="H8" s="4" t="n">
        <v>0</v>
      </c>
      <c r="I8">
        <f>SUM(D8:H8)</f>
        <v/>
      </c>
    </row>
    <row r="9">
      <c r="A9" s="4" t="inlineStr">
        <is>
          <t>ES-MEC</t>
        </is>
      </c>
      <c r="B9" s="4" t="inlineStr">
        <is>
          <t>Meco Warehouse</t>
        </is>
      </c>
      <c r="C9" s="4" t="inlineStr">
        <is>
          <t>Medium</t>
        </is>
      </c>
      <c r="D9" s="4" t="n">
        <v>8</v>
      </c>
      <c r="E9" s="4" t="n">
        <v>11</v>
      </c>
      <c r="F9" s="4" t="n">
        <v>7</v>
      </c>
      <c r="G9" s="4" t="n">
        <v>1</v>
      </c>
      <c r="H9" s="4" t="n">
        <v>0</v>
      </c>
      <c r="I9">
        <f>SUM(D9:H9)</f>
        <v/>
      </c>
    </row>
    <row r="10">
      <c r="A10" s="4" t="inlineStr">
        <is>
          <t>ES-MEC</t>
        </is>
      </c>
      <c r="B10" s="4" t="inlineStr">
        <is>
          <t>Meco Warehouse</t>
        </is>
      </c>
      <c r="C10" s="4" t="inlineStr">
        <is>
          <t>Low</t>
        </is>
      </c>
      <c r="D10" s="4" t="n">
        <v>0</v>
      </c>
      <c r="E10" s="4" t="n">
        <v>1</v>
      </c>
      <c r="F10" s="4" t="n">
        <v>4</v>
      </c>
      <c r="G10" s="4" t="n">
        <v>0</v>
      </c>
      <c r="H10" s="4" t="n">
        <v>0</v>
      </c>
      <c r="I10">
        <f>SUM(D10:H10)</f>
        <v/>
      </c>
    </row>
    <row r="11">
      <c r="A11" s="4" t="inlineStr">
        <is>
          <t>ES-SEV</t>
        </is>
      </c>
      <c r="B11" s="4" t="inlineStr">
        <is>
          <t>Sevilla Warehouse</t>
        </is>
      </c>
      <c r="C11" s="4" t="inlineStr">
        <is>
          <t>High</t>
        </is>
      </c>
      <c r="D11" s="4" t="n">
        <v>20</v>
      </c>
      <c r="E11" s="4" t="n">
        <v>7</v>
      </c>
      <c r="F11" s="4" t="n">
        <v>8</v>
      </c>
      <c r="G11" s="4" t="n">
        <v>22</v>
      </c>
      <c r="H11" s="4" t="n">
        <v>0</v>
      </c>
      <c r="I11">
        <f>SUM(D11:H11)</f>
        <v/>
      </c>
    </row>
    <row r="12">
      <c r="A12" s="4" t="inlineStr">
        <is>
          <t>ES-SEV</t>
        </is>
      </c>
      <c r="B12" s="4" t="inlineStr">
        <is>
          <t>Sevilla Warehouse</t>
        </is>
      </c>
      <c r="C12" s="4" t="inlineStr">
        <is>
          <t>Medium</t>
        </is>
      </c>
      <c r="D12" s="4" t="n">
        <v>4</v>
      </c>
      <c r="E12" s="4" t="n">
        <v>11</v>
      </c>
      <c r="F12" s="4" t="n">
        <v>4</v>
      </c>
      <c r="G12" s="4" t="n">
        <v>2</v>
      </c>
      <c r="H12" s="4" t="n">
        <v>0</v>
      </c>
      <c r="I12">
        <f>SUM(D12:H12)</f>
        <v/>
      </c>
    </row>
    <row r="13">
      <c r="A13" s="4" t="inlineStr">
        <is>
          <t>ES-VAL</t>
        </is>
      </c>
      <c r="B13" s="4" t="inlineStr">
        <is>
          <t>Valencia Warehouse</t>
        </is>
      </c>
      <c r="C13" s="4" t="inlineStr">
        <is>
          <t>High</t>
        </is>
      </c>
      <c r="D13" s="4" t="n">
        <v>16</v>
      </c>
      <c r="E13" s="4" t="n">
        <v>10</v>
      </c>
      <c r="F13" s="4" t="n">
        <v>6</v>
      </c>
      <c r="G13" s="4" t="n">
        <v>15</v>
      </c>
      <c r="H13" s="4" t="n">
        <v>0</v>
      </c>
      <c r="I13">
        <f>SUM(D13:H13)</f>
        <v/>
      </c>
    </row>
    <row r="14">
      <c r="A14" s="4" t="inlineStr">
        <is>
          <t>ES-VAL</t>
        </is>
      </c>
      <c r="B14" s="4" t="inlineStr">
        <is>
          <t>Valencia Warehouse</t>
        </is>
      </c>
      <c r="C14" s="4" t="inlineStr">
        <is>
          <t>Medium</t>
        </is>
      </c>
      <c r="D14" s="4" t="n">
        <v>4</v>
      </c>
      <c r="E14" s="4" t="n">
        <v>16</v>
      </c>
      <c r="F14" s="4" t="n">
        <v>2</v>
      </c>
      <c r="G14" s="4" t="n">
        <v>6</v>
      </c>
      <c r="H14" s="4" t="n">
        <v>0</v>
      </c>
      <c r="I14">
        <f>SUM(D14:H14)</f>
        <v/>
      </c>
    </row>
    <row r="15">
      <c r="A15" s="4" t="inlineStr">
        <is>
          <t>ES-VAL</t>
        </is>
      </c>
      <c r="B15" s="4" t="inlineStr">
        <is>
          <t>Valencia Warehouse</t>
        </is>
      </c>
      <c r="C15" s="4" t="inlineStr">
        <is>
          <t>Low</t>
        </is>
      </c>
      <c r="D15" s="4" t="n">
        <v>1</v>
      </c>
      <c r="E15" s="4" t="n">
        <v>2</v>
      </c>
      <c r="F15" s="4" t="n">
        <v>0</v>
      </c>
      <c r="G15" s="4" t="n">
        <v>0</v>
      </c>
      <c r="H15" s="4" t="n">
        <v>0</v>
      </c>
      <c r="I15">
        <f>SUM(D15:H15)</f>
        <v/>
      </c>
    </row>
    <row r="16">
      <c r="A16" s="4" t="inlineStr">
        <is>
          <t>ES-BUR</t>
        </is>
      </c>
      <c r="B16" s="4" t="inlineStr">
        <is>
          <t>Burgos Warehouse</t>
        </is>
      </c>
      <c r="C16" s="4" t="inlineStr">
        <is>
          <t>High</t>
        </is>
      </c>
      <c r="D16" s="4" t="n">
        <v>9</v>
      </c>
      <c r="E16" s="4" t="n">
        <v>9</v>
      </c>
      <c r="F16" s="4" t="n">
        <v>4</v>
      </c>
      <c r="G16" s="4" t="n">
        <v>15</v>
      </c>
      <c r="H16" s="4" t="n">
        <v>0</v>
      </c>
      <c r="I16">
        <f>SUM(D16:H16)</f>
        <v/>
      </c>
    </row>
    <row r="17">
      <c r="A17" s="4" t="inlineStr">
        <is>
          <t>ES-BUR</t>
        </is>
      </c>
      <c r="B17" s="4" t="inlineStr">
        <is>
          <t>Burgos Warehouse</t>
        </is>
      </c>
      <c r="C17" s="4" t="inlineStr">
        <is>
          <t>Medium</t>
        </is>
      </c>
      <c r="D17" s="4" t="n">
        <v>2</v>
      </c>
      <c r="E17" s="4" t="n">
        <v>18</v>
      </c>
      <c r="F17" s="4" t="n">
        <v>1</v>
      </c>
      <c r="G17" s="4" t="n">
        <v>3</v>
      </c>
      <c r="H17" s="4" t="n">
        <v>0</v>
      </c>
      <c r="I17">
        <f>SUM(D17:H17)</f>
        <v/>
      </c>
    </row>
    <row r="18">
      <c r="A18" s="4" t="inlineStr">
        <is>
          <t>ES-BUR</t>
        </is>
      </c>
      <c r="B18" s="4" t="inlineStr">
        <is>
          <t>Burgos Warehouse</t>
        </is>
      </c>
      <c r="C18" s="4" t="inlineStr">
        <is>
          <t>Low</t>
        </is>
      </c>
      <c r="D18" s="4" t="n">
        <v>0</v>
      </c>
      <c r="E18" s="4" t="n">
        <v>11</v>
      </c>
      <c r="F18" s="4" t="n">
        <v>0</v>
      </c>
      <c r="G18" s="4" t="n">
        <v>0</v>
      </c>
      <c r="H18" s="4" t="n">
        <v>0</v>
      </c>
      <c r="I18">
        <f>SUM(D18:H18)</f>
        <v/>
      </c>
    </row>
    <row r="19">
      <c r="A19" s="4" t="inlineStr">
        <is>
          <t>ES-AND</t>
        </is>
      </c>
      <c r="B19" s="4" t="inlineStr">
        <is>
          <t>Andoain Warehouse</t>
        </is>
      </c>
      <c r="C19" s="4" t="inlineStr">
        <is>
          <t>High</t>
        </is>
      </c>
      <c r="D19" s="4" t="n">
        <v>1</v>
      </c>
      <c r="E19" s="4" t="n">
        <v>4</v>
      </c>
      <c r="F19" s="4" t="n">
        <v>16</v>
      </c>
      <c r="G19" s="4" t="n">
        <v>8</v>
      </c>
      <c r="H19" s="4" t="n">
        <v>0</v>
      </c>
      <c r="I19">
        <f>SUM(D19:H19)</f>
        <v/>
      </c>
    </row>
    <row r="20">
      <c r="A20" s="4" t="inlineStr">
        <is>
          <t>ES-AND</t>
        </is>
      </c>
      <c r="B20" s="4" t="inlineStr">
        <is>
          <t>Andoain Warehouse</t>
        </is>
      </c>
      <c r="C20" s="4" t="inlineStr">
        <is>
          <t>Medium</t>
        </is>
      </c>
      <c r="D20" s="4" t="n">
        <v>1</v>
      </c>
      <c r="E20" s="4" t="n">
        <v>8</v>
      </c>
      <c r="F20" s="4" t="n">
        <v>15</v>
      </c>
      <c r="G20" s="4" t="n">
        <v>1</v>
      </c>
      <c r="H20" s="4" t="n">
        <v>0</v>
      </c>
      <c r="I20">
        <f>SUM(D20:H20)</f>
        <v/>
      </c>
    </row>
    <row r="21">
      <c r="A21" s="4" t="inlineStr">
        <is>
          <t>ES-AND</t>
        </is>
      </c>
      <c r="B21" s="4" t="inlineStr">
        <is>
          <t>Andoain Warehouse</t>
        </is>
      </c>
      <c r="C21" s="4" t="inlineStr">
        <is>
          <t>Low</t>
        </is>
      </c>
      <c r="D21" s="4" t="n">
        <v>0</v>
      </c>
      <c r="E21" s="4" t="n">
        <v>1</v>
      </c>
      <c r="F21" s="4" t="n">
        <v>3</v>
      </c>
      <c r="G21" s="4" t="n">
        <v>0</v>
      </c>
      <c r="H21" s="4" t="n">
        <v>0</v>
      </c>
      <c r="I21">
        <f>SUM(D21:H21)</f>
        <v/>
      </c>
    </row>
    <row r="22">
      <c r="A22" s="4" t="inlineStr">
        <is>
          <t>ES-MAD</t>
        </is>
      </c>
      <c r="B22" s="4" t="inlineStr">
        <is>
          <t>Madrid Office</t>
        </is>
      </c>
      <c r="C22" s="4" t="inlineStr">
        <is>
          <t>High</t>
        </is>
      </c>
      <c r="D22" s="4" t="n">
        <v>11</v>
      </c>
      <c r="E22" s="4" t="n">
        <v>1</v>
      </c>
      <c r="F22" s="4" t="n">
        <v>0</v>
      </c>
      <c r="G22" s="4" t="n">
        <v>0</v>
      </c>
      <c r="H22" s="4" t="n">
        <v>0</v>
      </c>
      <c r="I22">
        <f>SUM(D22:H22)</f>
        <v/>
      </c>
    </row>
    <row r="23">
      <c r="A23" s="4" t="inlineStr">
        <is>
          <t>ES-MAD</t>
        </is>
      </c>
      <c r="B23" s="4" t="inlineStr">
        <is>
          <t>Madrid Office</t>
        </is>
      </c>
      <c r="C23" s="4" t="inlineStr">
        <is>
          <t>Medium</t>
        </is>
      </c>
      <c r="D23" s="4" t="n">
        <v>0</v>
      </c>
      <c r="E23" s="4" t="n">
        <v>9</v>
      </c>
      <c r="F23" s="4" t="n">
        <v>6</v>
      </c>
      <c r="G23" s="4" t="n">
        <v>0</v>
      </c>
      <c r="H23" s="4" t="n">
        <v>0</v>
      </c>
      <c r="I23">
        <f>SUM(D23:H23)</f>
        <v/>
      </c>
    </row>
    <row r="24">
      <c r="A24" s="4" t="inlineStr">
        <is>
          <t>ES-MAD</t>
        </is>
      </c>
      <c r="B24" s="4" t="inlineStr">
        <is>
          <t>Madrid Office</t>
        </is>
      </c>
      <c r="C24" s="4" t="inlineStr">
        <is>
          <t>Low</t>
        </is>
      </c>
      <c r="D24" s="4" t="n">
        <v>3</v>
      </c>
      <c r="E24" s="4" t="n">
        <v>1</v>
      </c>
      <c r="F24" s="4" t="n">
        <v>0</v>
      </c>
      <c r="G24" s="4" t="n">
        <v>0</v>
      </c>
      <c r="H24" s="4" t="n">
        <v>0</v>
      </c>
      <c r="I24">
        <f>SUM(D24:H24)</f>
        <v/>
      </c>
    </row>
    <row r="25">
      <c r="A25" s="4" t="inlineStr">
        <is>
          <t>ES-ACO</t>
        </is>
      </c>
      <c r="B25" s="4" t="inlineStr">
        <is>
          <t>A Coruña – Repsol in-house warehouse</t>
        </is>
      </c>
      <c r="C25" s="4" t="inlineStr">
        <is>
          <t>High</t>
        </is>
      </c>
      <c r="D25" s="4" t="n">
        <v>8</v>
      </c>
      <c r="E25" s="4" t="n">
        <v>0</v>
      </c>
      <c r="F25" s="4" t="n">
        <v>0</v>
      </c>
      <c r="G25" s="4" t="n">
        <v>0</v>
      </c>
      <c r="H25" s="4" t="n">
        <v>0</v>
      </c>
      <c r="I25">
        <f>SUM(D25:H25)</f>
        <v/>
      </c>
    </row>
    <row r="26">
      <c r="A26" s="4" t="inlineStr">
        <is>
          <t>ES-ACO</t>
        </is>
      </c>
      <c r="B26" s="4" t="inlineStr">
        <is>
          <t>A Coruña – Repsol in-house warehouse</t>
        </is>
      </c>
      <c r="C26" s="4" t="inlineStr">
        <is>
          <t>Medium</t>
        </is>
      </c>
      <c r="D26" s="4" t="n">
        <v>2</v>
      </c>
      <c r="E26" s="4" t="n">
        <v>1</v>
      </c>
      <c r="F26" s="4" t="n">
        <v>0</v>
      </c>
      <c r="G26" s="4" t="n">
        <v>0</v>
      </c>
      <c r="H26" s="4" t="n">
        <v>0</v>
      </c>
      <c r="I26">
        <f>SUM(D26:H26)</f>
        <v/>
      </c>
    </row>
    <row r="27">
      <c r="A27" s="4" t="inlineStr">
        <is>
          <t>PT-AVE</t>
        </is>
      </c>
      <c r="B27" s="4" t="inlineStr">
        <is>
          <t>Aveiro Office</t>
        </is>
      </c>
      <c r="C27" s="4" t="inlineStr">
        <is>
          <t>High</t>
        </is>
      </c>
      <c r="D27" s="4" t="n">
        <v>4</v>
      </c>
      <c r="E27" s="4" t="n">
        <v>3</v>
      </c>
      <c r="F27" s="4" t="n">
        <v>1</v>
      </c>
      <c r="G27" s="4" t="n">
        <v>4</v>
      </c>
      <c r="H27" s="4" t="n">
        <v>0</v>
      </c>
      <c r="I27">
        <f>SUM(D27:H27)</f>
        <v/>
      </c>
    </row>
    <row r="28">
      <c r="A28" s="4" t="inlineStr">
        <is>
          <t>PT-AVE</t>
        </is>
      </c>
      <c r="B28" s="4" t="inlineStr">
        <is>
          <t>Aveiro Office</t>
        </is>
      </c>
      <c r="C28" s="4" t="inlineStr">
        <is>
          <t>Medium</t>
        </is>
      </c>
      <c r="D28" s="4" t="n">
        <v>11</v>
      </c>
      <c r="E28" s="4" t="n">
        <v>4</v>
      </c>
      <c r="F28" s="4" t="n">
        <v>4</v>
      </c>
      <c r="G28" s="4" t="n">
        <v>3</v>
      </c>
      <c r="H28" s="4" t="n">
        <v>0</v>
      </c>
      <c r="I28">
        <f>SUM(D28:H28)</f>
        <v/>
      </c>
    </row>
    <row r="29">
      <c r="A29" s="4" t="inlineStr">
        <is>
          <t>PT-AVE</t>
        </is>
      </c>
      <c r="B29" s="4" t="inlineStr">
        <is>
          <t>Aveiro Office</t>
        </is>
      </c>
      <c r="C29" s="4" t="inlineStr">
        <is>
          <t>Low</t>
        </is>
      </c>
      <c r="D29" s="4" t="n">
        <v>2</v>
      </c>
      <c r="E29" s="4" t="n">
        <v>7</v>
      </c>
      <c r="F29" s="4" t="n">
        <v>1</v>
      </c>
      <c r="G29" s="4" t="n">
        <v>1</v>
      </c>
      <c r="H29" s="4" t="n">
        <v>0</v>
      </c>
      <c r="I29">
        <f>SUM(D29:H29)</f>
        <v/>
      </c>
    </row>
    <row r="30">
      <c r="A30" s="4" t="inlineStr">
        <is>
          <t>MX-MTY</t>
        </is>
      </c>
      <c r="B30" s="4" t="inlineStr">
        <is>
          <t>Monterrey Warehouse (owned)</t>
        </is>
      </c>
      <c r="C30" s="4" t="inlineStr">
        <is>
          <t>High</t>
        </is>
      </c>
      <c r="D30" s="4" t="n">
        <v>23</v>
      </c>
      <c r="E30" s="4" t="n">
        <v>7</v>
      </c>
      <c r="F30" s="4" t="n">
        <v>5</v>
      </c>
      <c r="G30" s="4" t="n">
        <v>0</v>
      </c>
      <c r="H30" s="4" t="n">
        <v>0</v>
      </c>
      <c r="I30">
        <f>SUM(D30:H30)</f>
        <v/>
      </c>
    </row>
    <row r="31">
      <c r="A31" s="4" t="inlineStr">
        <is>
          <t>MX-MTY</t>
        </is>
      </c>
      <c r="B31" s="4" t="inlineStr">
        <is>
          <t>Monterrey Warehouse (owned)</t>
        </is>
      </c>
      <c r="C31" s="4" t="inlineStr">
        <is>
          <t>Medium</t>
        </is>
      </c>
      <c r="D31" s="4" t="n">
        <v>22</v>
      </c>
      <c r="E31" s="4" t="n">
        <v>6</v>
      </c>
      <c r="F31" s="4" t="n">
        <v>0</v>
      </c>
      <c r="G31" s="4" t="n">
        <v>0</v>
      </c>
      <c r="H31" s="4" t="n">
        <v>0</v>
      </c>
      <c r="I31">
        <f>SUM(D31:H31)</f>
        <v/>
      </c>
    </row>
    <row r="32">
      <c r="A32" s="4" t="inlineStr">
        <is>
          <t>MX-MTY</t>
        </is>
      </c>
      <c r="B32" s="4" t="inlineStr">
        <is>
          <t>Monterrey Warehouse (owned)</t>
        </is>
      </c>
      <c r="C32" s="4" t="inlineStr">
        <is>
          <t>Low</t>
        </is>
      </c>
      <c r="D32" s="4" t="n">
        <v>8</v>
      </c>
      <c r="E32" s="4" t="n">
        <v>0</v>
      </c>
      <c r="F32" s="4" t="n">
        <v>1</v>
      </c>
      <c r="G32" s="4" t="n">
        <v>0</v>
      </c>
      <c r="H32" s="4" t="n">
        <v>0</v>
      </c>
      <c r="I32">
        <f>SUM(D32:H32)</f>
        <v/>
      </c>
    </row>
    <row r="33">
      <c r="A33" s="4" t="inlineStr">
        <is>
          <t>MX-MTY</t>
        </is>
      </c>
      <c r="B33" s="4" t="inlineStr">
        <is>
          <t>Monterrey Warehouse (owned)</t>
        </is>
      </c>
      <c r="C33" s="4" t="inlineStr">
        <is>
          <t>Not rated</t>
        </is>
      </c>
      <c r="D33" s="4" t="n">
        <v>0</v>
      </c>
      <c r="E33" s="4" t="n">
        <v>0</v>
      </c>
      <c r="F33" s="4" t="n">
        <v>0</v>
      </c>
      <c r="G33" s="4" t="n">
        <v>9</v>
      </c>
      <c r="H33" s="4" t="n">
        <v>0</v>
      </c>
      <c r="I33">
        <f>SUM(D33:H33)</f>
        <v/>
      </c>
    </row>
    <row r="34">
      <c r="A34" s="4" t="inlineStr">
        <is>
          <t>MX-CDMX</t>
        </is>
      </c>
      <c r="B34" s="4" t="inlineStr">
        <is>
          <t>CDMX Office</t>
        </is>
      </c>
      <c r="C34" s="4" t="inlineStr">
        <is>
          <t>High</t>
        </is>
      </c>
      <c r="D34" s="4" t="n">
        <v>22</v>
      </c>
      <c r="E34" s="4" t="n">
        <v>2</v>
      </c>
      <c r="F34" s="4" t="n">
        <v>3</v>
      </c>
      <c r="G34" s="4" t="n">
        <v>0</v>
      </c>
      <c r="H34" s="4" t="n">
        <v>0</v>
      </c>
      <c r="I34">
        <f>SUM(D34:H34)</f>
        <v/>
      </c>
    </row>
    <row r="35">
      <c r="A35" s="4" t="inlineStr">
        <is>
          <t>MX-CDMX</t>
        </is>
      </c>
      <c r="B35" s="4" t="inlineStr">
        <is>
          <t>CDMX Office</t>
        </is>
      </c>
      <c r="C35" s="4" t="inlineStr">
        <is>
          <t>Medium</t>
        </is>
      </c>
      <c r="D35" s="4" t="n">
        <v>7</v>
      </c>
      <c r="E35" s="4" t="n">
        <v>3</v>
      </c>
      <c r="F35" s="4" t="n">
        <v>1</v>
      </c>
      <c r="G35" s="4" t="n">
        <v>0</v>
      </c>
      <c r="H35" s="4" t="n">
        <v>0</v>
      </c>
      <c r="I35">
        <f>SUM(D35:H35)</f>
        <v/>
      </c>
    </row>
    <row r="36">
      <c r="A36" s="4" t="inlineStr">
        <is>
          <t>MX-CDMX</t>
        </is>
      </c>
      <c r="B36" s="4" t="inlineStr">
        <is>
          <t>CDMX Office</t>
        </is>
      </c>
      <c r="C36" s="4" t="inlineStr">
        <is>
          <t>Low</t>
        </is>
      </c>
      <c r="D36" s="4" t="n">
        <v>6</v>
      </c>
      <c r="E36" s="4" t="n">
        <v>1</v>
      </c>
      <c r="F36" s="4" t="n">
        <v>0</v>
      </c>
      <c r="G36" s="4" t="n">
        <v>0</v>
      </c>
      <c r="H36" s="4" t="n">
        <v>0</v>
      </c>
      <c r="I36">
        <f>SUM(D36:H36)</f>
        <v/>
      </c>
    </row>
    <row r="37">
      <c r="A37" s="4" t="inlineStr">
        <is>
          <t>MX-CDMX</t>
        </is>
      </c>
      <c r="B37" s="4" t="inlineStr">
        <is>
          <t>CDMX Office</t>
        </is>
      </c>
      <c r="C37" s="4" t="inlineStr">
        <is>
          <t>Not rated</t>
        </is>
      </c>
      <c r="D37" s="4" t="n">
        <v>0</v>
      </c>
      <c r="E37" s="4" t="n">
        <v>0</v>
      </c>
      <c r="F37" s="4" t="n">
        <v>0</v>
      </c>
      <c r="G37" s="4" t="n">
        <v>2</v>
      </c>
      <c r="H37" s="4" t="n">
        <v>0</v>
      </c>
      <c r="I37">
        <f>SUM(D37:H37)</f>
        <v/>
      </c>
    </row>
    <row r="38">
      <c r="A38" s="4" t="inlineStr">
        <is>
          <t>MX-INO</t>
        </is>
      </c>
      <c r="B38" s="4" t="inlineStr">
        <is>
          <t>EPC INOAC</t>
        </is>
      </c>
      <c r="C38" s="4" t="inlineStr">
        <is>
          <t>High</t>
        </is>
      </c>
      <c r="D38" s="4" t="n">
        <v>13</v>
      </c>
      <c r="E38" s="4" t="n">
        <v>0</v>
      </c>
      <c r="F38" s="4" t="n">
        <v>3</v>
      </c>
      <c r="G38" s="4" t="n">
        <v>0</v>
      </c>
      <c r="H38" s="4" t="n">
        <v>0</v>
      </c>
      <c r="I38">
        <f>SUM(D38:H38)</f>
        <v/>
      </c>
    </row>
    <row r="39">
      <c r="A39" s="4" t="inlineStr">
        <is>
          <t>MX-INO</t>
        </is>
      </c>
      <c r="B39" s="4" t="inlineStr">
        <is>
          <t>EPC INOAC</t>
        </is>
      </c>
      <c r="C39" s="4" t="inlineStr">
        <is>
          <t>Medium</t>
        </is>
      </c>
      <c r="D39" s="4" t="n">
        <v>7</v>
      </c>
      <c r="E39" s="4" t="n">
        <v>2</v>
      </c>
      <c r="F39" s="4" t="n">
        <v>3</v>
      </c>
      <c r="G39" s="4" t="n">
        <v>0</v>
      </c>
      <c r="H39" s="4" t="n">
        <v>0</v>
      </c>
      <c r="I39">
        <f>SUM(D39:H39)</f>
        <v/>
      </c>
    </row>
    <row r="40">
      <c r="A40" s="4" t="inlineStr">
        <is>
          <t>MX-INO</t>
        </is>
      </c>
      <c r="B40" s="4" t="inlineStr">
        <is>
          <t>EPC INOAC</t>
        </is>
      </c>
      <c r="C40" s="4" t="inlineStr">
        <is>
          <t>Low</t>
        </is>
      </c>
      <c r="D40" s="4" t="n">
        <v>7</v>
      </c>
      <c r="E40" s="4" t="n">
        <v>1</v>
      </c>
      <c r="F40" s="4" t="n">
        <v>0</v>
      </c>
      <c r="G40" s="4" t="n">
        <v>0</v>
      </c>
      <c r="H40" s="4" t="n">
        <v>0</v>
      </c>
      <c r="I40">
        <f>SUM(D40:H40)</f>
        <v/>
      </c>
    </row>
    <row r="41">
      <c r="A41" s="4" t="inlineStr">
        <is>
          <t>MX-INO</t>
        </is>
      </c>
      <c r="B41" s="4" t="inlineStr">
        <is>
          <t>EPC INOAC</t>
        </is>
      </c>
      <c r="C41" s="4" t="inlineStr">
        <is>
          <t>Not rated</t>
        </is>
      </c>
      <c r="D41" s="4" t="n">
        <v>0</v>
      </c>
      <c r="E41" s="4" t="n">
        <v>0</v>
      </c>
      <c r="F41" s="4" t="n">
        <v>0</v>
      </c>
      <c r="G41" s="4" t="n">
        <v>2</v>
      </c>
      <c r="H41" s="4" t="n">
        <v>0</v>
      </c>
      <c r="I41">
        <f>SUM(D41:H41)</f>
        <v/>
      </c>
    </row>
    <row r="42">
      <c r="A42" s="4" t="inlineStr">
        <is>
          <t>MX-IBE</t>
        </is>
      </c>
      <c r="B42" s="4" t="inlineStr">
        <is>
          <t>Iberdrola in-house warehouse</t>
        </is>
      </c>
      <c r="C42" s="4" t="inlineStr">
        <is>
          <t>High</t>
        </is>
      </c>
      <c r="D42" s="4" t="n">
        <v>3</v>
      </c>
      <c r="E42" s="4" t="n">
        <v>7</v>
      </c>
      <c r="F42" s="4" t="n">
        <v>6</v>
      </c>
      <c r="G42" s="4" t="n">
        <v>0</v>
      </c>
      <c r="H42" s="4" t="n">
        <v>0</v>
      </c>
      <c r="I42">
        <f>SUM(D42:H42)</f>
        <v/>
      </c>
    </row>
    <row r="43">
      <c r="A43" s="4" t="inlineStr">
        <is>
          <t>MX-IBE</t>
        </is>
      </c>
      <c r="B43" s="4" t="inlineStr">
        <is>
          <t>Iberdrola in-house warehouse</t>
        </is>
      </c>
      <c r="C43" s="4" t="inlineStr">
        <is>
          <t>Medium</t>
        </is>
      </c>
      <c r="D43" s="4" t="n">
        <v>0</v>
      </c>
      <c r="E43" s="4" t="n">
        <v>2</v>
      </c>
      <c r="F43" s="4" t="n">
        <v>7</v>
      </c>
      <c r="G43" s="4" t="n">
        <v>0</v>
      </c>
      <c r="H43" s="4" t="n">
        <v>0</v>
      </c>
      <c r="I43">
        <f>SUM(D43:H43)</f>
        <v/>
      </c>
    </row>
    <row r="44">
      <c r="A44" s="4" t="inlineStr">
        <is>
          <t>MX-IBE</t>
        </is>
      </c>
      <c r="B44" s="4" t="inlineStr">
        <is>
          <t>Iberdrola in-house warehouse</t>
        </is>
      </c>
      <c r="C44" s="4" t="inlineStr">
        <is>
          <t>Low</t>
        </is>
      </c>
      <c r="D44" s="4" t="n">
        <v>1</v>
      </c>
      <c r="E44" s="4" t="n">
        <v>3</v>
      </c>
      <c r="F44" s="4" t="n">
        <v>1</v>
      </c>
      <c r="G44" s="4" t="n">
        <v>0</v>
      </c>
      <c r="H44" s="4" t="n">
        <v>0</v>
      </c>
      <c r="I44">
        <f>SUM(D44:H44)</f>
        <v/>
      </c>
    </row>
    <row r="45">
      <c r="A45" s="4" t="inlineStr">
        <is>
          <t>MX-BRA</t>
        </is>
      </c>
      <c r="B45" s="4" t="inlineStr">
        <is>
          <t>Braskem in-house warehouse</t>
        </is>
      </c>
      <c r="C45" s="4" t="inlineStr">
        <is>
          <t>High</t>
        </is>
      </c>
      <c r="D45" s="4" t="n">
        <v>10</v>
      </c>
      <c r="E45" s="4" t="n">
        <v>0</v>
      </c>
      <c r="F45" s="4" t="n">
        <v>3</v>
      </c>
      <c r="G45" s="4" t="n">
        <v>0</v>
      </c>
      <c r="H45" s="4" t="n">
        <v>0</v>
      </c>
      <c r="I45">
        <f>SUM(D45:H45)</f>
        <v/>
      </c>
    </row>
    <row r="46">
      <c r="A46" s="4" t="inlineStr">
        <is>
          <t>MX-BRA</t>
        </is>
      </c>
      <c r="B46" s="4" t="inlineStr">
        <is>
          <t>Braskem in-house warehouse</t>
        </is>
      </c>
      <c r="C46" s="4" t="inlineStr">
        <is>
          <t>Medium</t>
        </is>
      </c>
      <c r="D46" s="4" t="n">
        <v>11</v>
      </c>
      <c r="E46" s="4" t="n">
        <v>1</v>
      </c>
      <c r="F46" s="4" t="n">
        <v>0</v>
      </c>
      <c r="G46" s="4" t="n">
        <v>0</v>
      </c>
      <c r="H46" s="4" t="n">
        <v>0</v>
      </c>
      <c r="I46">
        <f>SUM(D46:H46)</f>
        <v/>
      </c>
    </row>
    <row r="47">
      <c r="A47" s="4" t="inlineStr">
        <is>
          <t>MX-BRA</t>
        </is>
      </c>
      <c r="B47" s="4" t="inlineStr">
        <is>
          <t>Braskem in-house warehouse</t>
        </is>
      </c>
      <c r="C47" s="4" t="inlineStr">
        <is>
          <t>Low</t>
        </is>
      </c>
      <c r="D47" s="4" t="n">
        <v>2</v>
      </c>
      <c r="E47" s="4" t="n">
        <v>2</v>
      </c>
      <c r="F47" s="4" t="n">
        <v>1</v>
      </c>
      <c r="G47" s="4" t="n">
        <v>0</v>
      </c>
      <c r="H47" s="4" t="n">
        <v>0</v>
      </c>
      <c r="I47">
        <f>SUM(D47:H47)</f>
        <v/>
      </c>
    </row>
    <row r="48">
      <c r="A48" s="4" t="inlineStr">
        <is>
          <t>MX-ALT</t>
        </is>
      </c>
      <c r="B48" s="4" t="inlineStr">
        <is>
          <t>Altamira – Quantum warehouse &amp; services</t>
        </is>
      </c>
      <c r="C48" s="4" t="inlineStr">
        <is>
          <t>High</t>
        </is>
      </c>
      <c r="D48" s="4" t="n">
        <v>0</v>
      </c>
      <c r="E48" s="4" t="n">
        <v>0</v>
      </c>
      <c r="F48" s="4" t="n">
        <v>29</v>
      </c>
      <c r="G48" s="4" t="n">
        <v>0</v>
      </c>
      <c r="H48" s="4" t="n">
        <v>0</v>
      </c>
      <c r="I48">
        <f>SUM(D48:H48)</f>
        <v/>
      </c>
    </row>
    <row r="49">
      <c r="A49" s="4" t="inlineStr">
        <is>
          <t>MX-ALT</t>
        </is>
      </c>
      <c r="B49" s="4" t="inlineStr">
        <is>
          <t>Altamira – Quantum warehouse &amp; services</t>
        </is>
      </c>
      <c r="C49" s="4" t="inlineStr">
        <is>
          <t>Medium</t>
        </is>
      </c>
      <c r="D49" s="4" t="n">
        <v>0</v>
      </c>
      <c r="E49" s="4" t="n">
        <v>0</v>
      </c>
      <c r="F49" s="4" t="n">
        <v>1</v>
      </c>
      <c r="G49" s="4" t="n">
        <v>0</v>
      </c>
      <c r="H49" s="4" t="n">
        <v>0</v>
      </c>
      <c r="I49">
        <f>SUM(D49:H49)</f>
        <v/>
      </c>
    </row>
    <row r="50">
      <c r="A50" s="4" t="inlineStr">
        <is>
          <t>MX-SCH</t>
        </is>
      </c>
      <c r="B50" s="4" t="inlineStr">
        <is>
          <t>Schneider general services (Monterrey)</t>
        </is>
      </c>
      <c r="C50" s="4" t="inlineStr">
        <is>
          <t>High</t>
        </is>
      </c>
      <c r="D50" s="4" t="n">
        <v>3</v>
      </c>
      <c r="E50" s="4" t="n">
        <v>0</v>
      </c>
      <c r="F50" s="4" t="n">
        <v>3</v>
      </c>
      <c r="G50" s="4" t="n">
        <v>0</v>
      </c>
      <c r="H50" s="4" t="n">
        <v>0</v>
      </c>
      <c r="I50">
        <f>SUM(D50:H50)</f>
        <v/>
      </c>
    </row>
    <row r="51">
      <c r="A51" s="4" t="inlineStr">
        <is>
          <t>MX-SCH</t>
        </is>
      </c>
      <c r="B51" s="4" t="inlineStr">
        <is>
          <t>Schneider general services (Monterrey)</t>
        </is>
      </c>
      <c r="C51" s="4" t="inlineStr">
        <is>
          <t>Medium</t>
        </is>
      </c>
      <c r="D51" s="4" t="n">
        <v>6</v>
      </c>
      <c r="E51" s="4" t="n">
        <v>1</v>
      </c>
      <c r="F51" s="4" t="n">
        <v>2</v>
      </c>
      <c r="G51" s="4" t="n">
        <v>0</v>
      </c>
      <c r="H51" s="4" t="n">
        <v>0</v>
      </c>
      <c r="I51">
        <f>SUM(D51:H51)</f>
        <v/>
      </c>
    </row>
    <row r="52">
      <c r="A52" s="4" t="inlineStr">
        <is>
          <t>MX-SCH</t>
        </is>
      </c>
      <c r="B52" s="4" t="inlineStr">
        <is>
          <t>Schneider general services (Monterrey)</t>
        </is>
      </c>
      <c r="C52" s="4" t="inlineStr">
        <is>
          <t>Low</t>
        </is>
      </c>
      <c r="D52" s="4" t="n">
        <v>4</v>
      </c>
      <c r="E52" s="4" t="n">
        <v>1</v>
      </c>
      <c r="F52" s="4" t="n">
        <v>2</v>
      </c>
      <c r="G52" s="4" t="n">
        <v>0</v>
      </c>
      <c r="H52" s="4" t="n">
        <v>0</v>
      </c>
      <c r="I52">
        <f>SUM(D52:H52)</f>
        <v/>
      </c>
    </row>
    <row r="53">
      <c r="A53" s="4" t="inlineStr">
        <is>
          <t>MX-SCH</t>
        </is>
      </c>
      <c r="B53" s="4" t="inlineStr">
        <is>
          <t>Schneider general services (Monterrey)</t>
        </is>
      </c>
      <c r="C53" s="4" t="inlineStr">
        <is>
          <t>Not rated</t>
        </is>
      </c>
      <c r="D53" s="4" t="n">
        <v>0</v>
      </c>
      <c r="E53" s="4" t="n">
        <v>0</v>
      </c>
      <c r="F53" s="4" t="n">
        <v>0</v>
      </c>
      <c r="G53" s="4" t="n">
        <v>3</v>
      </c>
      <c r="H53" s="4" t="n">
        <v>0</v>
      </c>
      <c r="I53">
        <f>SUM(D53:H53)</f>
        <v/>
      </c>
    </row>
    <row r="54">
      <c r="A54" s="4" t="inlineStr">
        <is>
          <t>MX-CHE</t>
        </is>
      </c>
      <c r="B54" s="4" t="inlineStr">
        <is>
          <t>Chetumal general services</t>
        </is>
      </c>
      <c r="C54" s="4" t="inlineStr">
        <is>
          <t>High</t>
        </is>
      </c>
      <c r="D54" s="4" t="n">
        <v>7</v>
      </c>
      <c r="E54" s="4" t="n">
        <v>0</v>
      </c>
      <c r="F54" s="4" t="n">
        <v>15</v>
      </c>
      <c r="G54" s="4" t="n">
        <v>0</v>
      </c>
      <c r="H54" s="4" t="n">
        <v>0</v>
      </c>
      <c r="I54">
        <f>SUM(D54:H54)</f>
        <v/>
      </c>
    </row>
    <row r="55">
      <c r="A55" s="4" t="inlineStr">
        <is>
          <t>MX-CHE</t>
        </is>
      </c>
      <c r="B55" s="4" t="inlineStr">
        <is>
          <t>Chetumal general services</t>
        </is>
      </c>
      <c r="C55" s="4" t="inlineStr">
        <is>
          <t>Medium</t>
        </is>
      </c>
      <c r="D55" s="4" t="n">
        <v>1</v>
      </c>
      <c r="E55" s="4" t="n">
        <v>0</v>
      </c>
      <c r="F55" s="4" t="n">
        <v>0</v>
      </c>
      <c r="G55" s="4" t="n">
        <v>0</v>
      </c>
      <c r="H55" s="4" t="n">
        <v>0</v>
      </c>
      <c r="I55">
        <f>SUM(D55:H55)</f>
        <v/>
      </c>
    </row>
    <row r="56">
      <c r="A56" s="4" t="inlineStr">
        <is>
          <t>MX-CHE</t>
        </is>
      </c>
      <c r="B56" s="4" t="inlineStr">
        <is>
          <t>Chetumal general services</t>
        </is>
      </c>
      <c r="C56" s="4" t="inlineStr">
        <is>
          <t>Not rated</t>
        </is>
      </c>
      <c r="D56" s="4" t="n">
        <v>0</v>
      </c>
      <c r="E56" s="4" t="n">
        <v>0</v>
      </c>
      <c r="F56" s="4" t="n">
        <v>0</v>
      </c>
      <c r="G56" s="4" t="n">
        <v>2</v>
      </c>
      <c r="H56" s="4" t="n">
        <v>0</v>
      </c>
      <c r="I56">
        <f>SUM(D56:H56)</f>
        <v/>
      </c>
    </row>
    <row r="57">
      <c r="A57" s="4" t="inlineStr">
        <is>
          <t>CO-EPC</t>
        </is>
      </c>
      <c r="B57" s="4" t="inlineStr">
        <is>
          <t>EPC Solar project</t>
        </is>
      </c>
      <c r="C57" s="4" t="inlineStr">
        <is>
          <t>High</t>
        </is>
      </c>
      <c r="D57" s="4" t="n">
        <v>4</v>
      </c>
      <c r="E57" s="4" t="n">
        <v>0</v>
      </c>
      <c r="F57" s="4" t="n">
        <v>12</v>
      </c>
      <c r="G57" s="4" t="n">
        <v>2</v>
      </c>
      <c r="H57" s="4" t="n">
        <v>0</v>
      </c>
      <c r="I57">
        <f>SUM(D57:H57)</f>
        <v/>
      </c>
    </row>
    <row r="58">
      <c r="A58" s="4" t="inlineStr">
        <is>
          <t>CO-EPC</t>
        </is>
      </c>
      <c r="B58" s="4" t="inlineStr">
        <is>
          <t>EPC Solar project</t>
        </is>
      </c>
      <c r="C58" s="4" t="inlineStr">
        <is>
          <t>Medium</t>
        </is>
      </c>
      <c r="D58" s="4" t="n">
        <v>4</v>
      </c>
      <c r="E58" s="4" t="n">
        <v>4</v>
      </c>
      <c r="F58" s="4" t="n">
        <v>11</v>
      </c>
      <c r="G58" s="4" t="n">
        <v>6</v>
      </c>
      <c r="H58" s="4" t="n">
        <v>0</v>
      </c>
      <c r="I58">
        <f>SUM(D58:H58)</f>
        <v/>
      </c>
    </row>
    <row r="59">
      <c r="A59" s="4" t="inlineStr">
        <is>
          <t>CO-EPC</t>
        </is>
      </c>
      <c r="B59" s="4" t="inlineStr">
        <is>
          <t>EPC Solar project</t>
        </is>
      </c>
      <c r="C59" s="4" t="inlineStr">
        <is>
          <t>Low</t>
        </is>
      </c>
      <c r="D59" s="4" t="n">
        <v>1</v>
      </c>
      <c r="E59" s="4" t="n">
        <v>2</v>
      </c>
      <c r="F59" s="4" t="n">
        <v>1</v>
      </c>
      <c r="G59" s="4" t="n">
        <v>2</v>
      </c>
      <c r="H59" s="4" t="n">
        <v>0</v>
      </c>
      <c r="I59">
        <f>SUM(D59:H59)</f>
        <v/>
      </c>
    </row>
    <row r="60">
      <c r="A60" s="4" t="inlineStr">
        <is>
          <t>CO-HOM</t>
        </is>
      </c>
      <c r="B60" s="4" t="inlineStr">
        <is>
          <t>Home-office (teleworking)</t>
        </is>
      </c>
      <c r="C60" s="4" t="inlineStr">
        <is>
          <t>High</t>
        </is>
      </c>
      <c r="D60" s="4" t="n">
        <v>3</v>
      </c>
      <c r="E60" s="4" t="n">
        <v>1</v>
      </c>
      <c r="F60" s="4" t="n">
        <v>1</v>
      </c>
      <c r="G60" s="4" t="n">
        <v>0</v>
      </c>
      <c r="H60" s="4" t="n">
        <v>0</v>
      </c>
      <c r="I60">
        <f>SUM(D60:H60)</f>
        <v/>
      </c>
    </row>
    <row r="61">
      <c r="A61" s="4" t="inlineStr">
        <is>
          <t>CO-HOM</t>
        </is>
      </c>
      <c r="B61" s="4" t="inlineStr">
        <is>
          <t>Home-office (teleworking)</t>
        </is>
      </c>
      <c r="C61" s="4" t="inlineStr">
        <is>
          <t>Medium</t>
        </is>
      </c>
      <c r="D61" s="4" t="n">
        <v>1</v>
      </c>
      <c r="E61" s="4" t="n">
        <v>1</v>
      </c>
      <c r="F61" s="4" t="n">
        <v>2</v>
      </c>
      <c r="G61" s="4" t="n">
        <v>0</v>
      </c>
      <c r="H61" s="4" t="n">
        <v>0</v>
      </c>
      <c r="I61">
        <f>SUM(D61:H61)</f>
        <v/>
      </c>
    </row>
    <row r="62">
      <c r="A62" s="4" t="inlineStr">
        <is>
          <t>CO-HOM</t>
        </is>
      </c>
      <c r="B62" s="4" t="inlineStr">
        <is>
          <t>Home-office (teleworking)</t>
        </is>
      </c>
      <c r="C62" s="4" t="inlineStr">
        <is>
          <t>Low</t>
        </is>
      </c>
      <c r="D62" s="4" t="n">
        <v>1</v>
      </c>
      <c r="E62" s="4" t="n">
        <v>2</v>
      </c>
      <c r="F62" s="4" t="n">
        <v>9</v>
      </c>
      <c r="G62" s="4" t="n">
        <v>0</v>
      </c>
      <c r="H62" s="4" t="n">
        <v>0</v>
      </c>
      <c r="I62">
        <f>SUM(D62:H62)</f>
        <v/>
      </c>
    </row>
    <row r="63">
      <c r="A63" s="4" t="inlineStr">
        <is>
          <t>FR-OFF</t>
        </is>
      </c>
      <c r="B63" s="4" t="inlineStr">
        <is>
          <t>Villeurbanne Office</t>
        </is>
      </c>
      <c r="C63" s="4" t="inlineStr">
        <is>
          <t>High</t>
        </is>
      </c>
      <c r="D63" s="4" t="n">
        <v>0</v>
      </c>
      <c r="E63" s="4" t="n">
        <v>0</v>
      </c>
      <c r="F63" s="4" t="n">
        <v>12</v>
      </c>
      <c r="G63" s="4" t="n">
        <v>0</v>
      </c>
      <c r="H63" s="4" t="n">
        <v>0</v>
      </c>
      <c r="I63">
        <f>SUM(D63:H63)</f>
        <v/>
      </c>
    </row>
    <row r="64">
      <c r="A64" s="4" t="inlineStr">
        <is>
          <t>FR-OFF</t>
        </is>
      </c>
      <c r="B64" s="4" t="inlineStr">
        <is>
          <t>Villeurbanne Office</t>
        </is>
      </c>
      <c r="C64" s="4" t="inlineStr">
        <is>
          <t>Medium</t>
        </is>
      </c>
      <c r="D64" s="4" t="n">
        <v>0</v>
      </c>
      <c r="E64" s="4" t="n">
        <v>0</v>
      </c>
      <c r="F64" s="4" t="n">
        <v>6</v>
      </c>
      <c r="G64" s="4" t="n">
        <v>0</v>
      </c>
      <c r="H64" s="4" t="n">
        <v>0</v>
      </c>
      <c r="I64">
        <f>SUM(D64:H64)</f>
        <v/>
      </c>
    </row>
    <row r="65">
      <c r="A65" s="4" t="inlineStr">
        <is>
          <t>FR-OFF</t>
        </is>
      </c>
      <c r="B65" s="4" t="inlineStr">
        <is>
          <t>Villeurbanne Office</t>
        </is>
      </c>
      <c r="C65" s="4" t="inlineStr">
        <is>
          <t>Low</t>
        </is>
      </c>
      <c r="D65" s="4" t="n">
        <v>0</v>
      </c>
      <c r="E65" s="4" t="n">
        <v>0</v>
      </c>
      <c r="F65" s="4" t="n">
        <v>11</v>
      </c>
      <c r="G65" s="4" t="n">
        <v>0</v>
      </c>
      <c r="H65" s="4" t="n">
        <v>0</v>
      </c>
      <c r="I65">
        <f>SUM(D65:H65)</f>
        <v/>
      </c>
    </row>
    <row r="66">
      <c r="A66" s="4" t="inlineStr">
        <is>
          <t>FR-OFF</t>
        </is>
      </c>
      <c r="B66" s="4" t="inlineStr">
        <is>
          <t>Villeurbanne Office</t>
        </is>
      </c>
      <c r="C66" s="4" t="inlineStr">
        <is>
          <t>Not rated</t>
        </is>
      </c>
      <c r="D66" s="4" t="n">
        <v>0</v>
      </c>
      <c r="E66" s="4" t="n">
        <v>0</v>
      </c>
      <c r="F66" s="4" t="n">
        <v>1</v>
      </c>
      <c r="G66" s="4" t="n">
        <v>0</v>
      </c>
      <c r="H66" s="4" t="n">
        <v>0</v>
      </c>
      <c r="I66">
        <f>SUM(D66:H66)</f>
        <v/>
      </c>
    </row>
    <row r="67">
      <c r="A67" s="4" t="inlineStr">
        <is>
          <t>FR-EPC</t>
        </is>
      </c>
      <c r="B67" s="4" t="inlineStr">
        <is>
          <t>EPC – subcontractor &amp; logistics</t>
        </is>
      </c>
      <c r="C67" s="4" t="inlineStr">
        <is>
          <t>High</t>
        </is>
      </c>
      <c r="D67" s="4" t="n">
        <v>0</v>
      </c>
      <c r="E67" s="4" t="n">
        <v>1</v>
      </c>
      <c r="F67" s="4" t="n">
        <v>19</v>
      </c>
      <c r="G67" s="4" t="n">
        <v>0</v>
      </c>
      <c r="H67" s="4" t="n">
        <v>0</v>
      </c>
      <c r="I67">
        <f>SUM(D67:H67)</f>
        <v/>
      </c>
    </row>
    <row r="68">
      <c r="A68" s="4" t="inlineStr">
        <is>
          <t>FR-EPC</t>
        </is>
      </c>
      <c r="B68" s="4" t="inlineStr">
        <is>
          <t>EPC – subcontractor &amp; logistics</t>
        </is>
      </c>
      <c r="C68" s="4" t="inlineStr">
        <is>
          <t>Medium</t>
        </is>
      </c>
      <c r="D68" s="4" t="n">
        <v>0</v>
      </c>
      <c r="E68" s="4" t="n">
        <v>1</v>
      </c>
      <c r="F68" s="4" t="n">
        <v>6</v>
      </c>
      <c r="G68" s="4" t="n">
        <v>0</v>
      </c>
      <c r="H68" s="4" t="n">
        <v>0</v>
      </c>
      <c r="I68">
        <f>SUM(D68:H68)</f>
        <v/>
      </c>
    </row>
    <row r="69">
      <c r="A69" s="4" t="inlineStr">
        <is>
          <t>FR-EPC</t>
        </is>
      </c>
      <c r="B69" s="4" t="inlineStr">
        <is>
          <t>EPC – subcontractor &amp; logistics</t>
        </is>
      </c>
      <c r="C69" s="4" t="inlineStr">
        <is>
          <t>Low</t>
        </is>
      </c>
      <c r="D69" s="4" t="n">
        <v>0</v>
      </c>
      <c r="E69" s="4" t="n">
        <v>0</v>
      </c>
      <c r="F69" s="4" t="n">
        <v>4</v>
      </c>
      <c r="G69" s="4" t="n">
        <v>0</v>
      </c>
      <c r="H69" s="4" t="n">
        <v>0</v>
      </c>
      <c r="I69">
        <f>SUM(D69:H69)</f>
        <v/>
      </c>
    </row>
    <row r="70">
      <c r="A70" s="4" t="inlineStr">
        <is>
          <t>GR-ATH</t>
        </is>
      </c>
      <c r="B70" s="4" t="inlineStr">
        <is>
          <t>Athens Office</t>
        </is>
      </c>
      <c r="C70" s="4" t="inlineStr">
        <is>
          <t>High</t>
        </is>
      </c>
      <c r="D70" s="4" t="n">
        <v>4</v>
      </c>
      <c r="E70" s="4" t="n">
        <v>4</v>
      </c>
      <c r="F70" s="4" t="n">
        <v>4</v>
      </c>
      <c r="G70" s="4" t="n">
        <v>1</v>
      </c>
      <c r="H70" s="4" t="n">
        <v>0</v>
      </c>
      <c r="I70">
        <f>SUM(D70:H70)</f>
        <v/>
      </c>
    </row>
    <row r="71">
      <c r="A71" s="4" t="inlineStr">
        <is>
          <t>GR-ATH</t>
        </is>
      </c>
      <c r="B71" s="4" t="inlineStr">
        <is>
          <t>Athens Office</t>
        </is>
      </c>
      <c r="C71" s="4" t="inlineStr">
        <is>
          <t>Medium</t>
        </is>
      </c>
      <c r="D71" s="4" t="n">
        <v>4</v>
      </c>
      <c r="E71" s="4" t="n">
        <v>4</v>
      </c>
      <c r="F71" s="4" t="n">
        <v>5</v>
      </c>
      <c r="G71" s="4" t="n">
        <v>0</v>
      </c>
      <c r="H71" s="4" t="n">
        <v>0</v>
      </c>
      <c r="I71">
        <f>SUM(D71:H71)</f>
        <v/>
      </c>
    </row>
    <row r="72">
      <c r="A72" s="4" t="inlineStr">
        <is>
          <t>GR-ATH</t>
        </is>
      </c>
      <c r="B72" s="4" t="inlineStr">
        <is>
          <t>Athens Office</t>
        </is>
      </c>
      <c r="C72" s="4" t="inlineStr">
        <is>
          <t>Low</t>
        </is>
      </c>
      <c r="D72" s="4" t="n">
        <v>1</v>
      </c>
      <c r="E72" s="4" t="n">
        <v>0</v>
      </c>
      <c r="F72" s="4" t="n">
        <v>1</v>
      </c>
      <c r="G72" s="4" t="n">
        <v>0</v>
      </c>
      <c r="H72" s="4" t="n">
        <v>0</v>
      </c>
      <c r="I72">
        <f>SUM(D72:H72)</f>
        <v/>
      </c>
    </row>
    <row r="73">
      <c r="A73" s="4" t="inlineStr">
        <is>
          <t>IT-BUC</t>
        </is>
      </c>
      <c r="B73" s="4" t="inlineStr">
        <is>
          <t>Buccinasco Office (HQ)</t>
        </is>
      </c>
      <c r="C73" s="4" t="inlineStr">
        <is>
          <t>High</t>
        </is>
      </c>
      <c r="D73" s="4" t="n">
        <v>11</v>
      </c>
      <c r="E73" s="4" t="n">
        <v>2</v>
      </c>
      <c r="F73" s="4" t="n">
        <v>0</v>
      </c>
      <c r="G73" s="4" t="n">
        <v>1</v>
      </c>
      <c r="H73" s="4" t="n">
        <v>0</v>
      </c>
      <c r="I73">
        <f>SUM(D73:H73)</f>
        <v/>
      </c>
    </row>
    <row r="74">
      <c r="A74" s="4" t="inlineStr">
        <is>
          <t>IT-BUC</t>
        </is>
      </c>
      <c r="B74" s="4" t="inlineStr">
        <is>
          <t>Buccinasco Office (HQ)</t>
        </is>
      </c>
      <c r="C74" s="4" t="inlineStr">
        <is>
          <t>Medium</t>
        </is>
      </c>
      <c r="D74" s="4" t="n">
        <v>14</v>
      </c>
      <c r="E74" s="4" t="n">
        <v>2</v>
      </c>
      <c r="F74" s="4" t="n">
        <v>1</v>
      </c>
      <c r="G74" s="4" t="n">
        <v>1</v>
      </c>
      <c r="H74" s="4" t="n">
        <v>0</v>
      </c>
      <c r="I74">
        <f>SUM(D74:H74)</f>
        <v/>
      </c>
    </row>
    <row r="75">
      <c r="A75" s="4" t="inlineStr">
        <is>
          <t>IT-BUC</t>
        </is>
      </c>
      <c r="B75" s="4" t="inlineStr">
        <is>
          <t>Buccinasco Office (HQ)</t>
        </is>
      </c>
      <c r="C75" s="4" t="inlineStr">
        <is>
          <t>Low</t>
        </is>
      </c>
      <c r="D75" s="4" t="n">
        <v>4</v>
      </c>
      <c r="E75" s="4" t="n">
        <v>4</v>
      </c>
      <c r="F75" s="4" t="n">
        <v>0</v>
      </c>
      <c r="G75" s="4" t="n">
        <v>1</v>
      </c>
      <c r="H75" s="4" t="n">
        <v>0</v>
      </c>
      <c r="I75">
        <f>SUM(D75:H75)</f>
        <v/>
      </c>
    </row>
    <row r="76">
      <c r="A76" s="4" t="inlineStr">
        <is>
          <t>IT-BUC</t>
        </is>
      </c>
      <c r="B76" s="4" t="inlineStr">
        <is>
          <t>Buccinasco Office (HQ)</t>
        </is>
      </c>
      <c r="C76" s="4" t="inlineStr">
        <is>
          <t>Not rated</t>
        </is>
      </c>
      <c r="D76" s="4" t="n">
        <v>0</v>
      </c>
      <c r="E76" s="4" t="n">
        <v>0</v>
      </c>
      <c r="F76" s="4" t="n">
        <v>0</v>
      </c>
      <c r="G76" s="4" t="n">
        <v>3</v>
      </c>
      <c r="H76" s="4" t="n">
        <v>0</v>
      </c>
      <c r="I76">
        <f>SUM(D76:H76)</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33"/>
  <sheetViews>
    <sheetView workbookViewId="0">
      <selection activeCell="A1" sqref="A1"/>
    </sheetView>
  </sheetViews>
  <sheetFormatPr baseColWidth="8" defaultRowHeight="15"/>
  <cols>
    <col width="9" customWidth="1" min="1" max="1"/>
    <col width="30" customWidth="1" min="2" max="2"/>
    <col width="45" customWidth="1" min="3" max="3"/>
    <col width="45" customWidth="1" min="4" max="4"/>
    <col width="11" customWidth="1" min="5" max="5"/>
    <col width="12" customWidth="1" min="6" max="6"/>
    <col width="13" customWidth="1" min="7" max="7"/>
  </cols>
  <sheetData>
    <row r="1">
      <c r="A1" s="1" t="inlineStr">
        <is>
          <t>Compliance by key activity · per site (checklist)</t>
        </is>
      </c>
    </row>
    <row r="2">
      <c r="A2" s="2" t="inlineStr">
        <is>
          <t>Assessed items only (compliant / partial / non-compliant).</t>
        </is>
      </c>
    </row>
    <row r="4">
      <c r="A4" s="3" t="inlineStr">
        <is>
          <t>Site ID</t>
        </is>
      </c>
      <c r="B4" s="3" t="inlineStr">
        <is>
          <t>Site</t>
        </is>
      </c>
      <c r="C4" s="3" t="inlineStr">
        <is>
          <t>Key activity (original)</t>
        </is>
      </c>
      <c r="D4" s="3" t="inlineStr">
        <is>
          <t>Key activity (English)</t>
        </is>
      </c>
      <c r="E4" s="3" t="inlineStr">
        <is>
          <t>Compliant</t>
        </is>
      </c>
      <c r="F4" s="3" t="inlineStr">
        <is>
          <t>Partially compliant</t>
        </is>
      </c>
      <c r="G4" s="3" t="inlineStr">
        <is>
          <t>Non-compliant</t>
        </is>
      </c>
      <c r="H4" s="8" t="inlineStr">
        <is>
          <t>Total</t>
        </is>
      </c>
    </row>
    <row r="5">
      <c r="A5" s="4" t="inlineStr">
        <is>
          <t>ES-VIT</t>
        </is>
      </c>
      <c r="B5" s="4" t="inlineStr">
        <is>
          <t>Vitoria Factory</t>
        </is>
      </c>
      <c r="C5" s="4" t="inlineStr">
        <is>
          <t>Licencias de apertura y actividad</t>
        </is>
      </c>
      <c r="D5" s="4" t="inlineStr">
        <is>
          <t>Opening and activity licences</t>
        </is>
      </c>
      <c r="E5" s="4" t="n">
        <v>1</v>
      </c>
      <c r="F5" s="4" t="n">
        <v>0</v>
      </c>
      <c r="G5" s="4" t="n">
        <v>0</v>
      </c>
      <c r="H5">
        <f>SUM(E5:G5)</f>
        <v/>
      </c>
    </row>
    <row r="6">
      <c r="A6" s="4" t="inlineStr">
        <is>
          <t>ES-VIT</t>
        </is>
      </c>
      <c r="B6" s="4" t="inlineStr">
        <is>
          <t>Vitoria Factory</t>
        </is>
      </c>
      <c r="C6" s="4" t="inlineStr">
        <is>
          <t>Instalaciones técnicas (certificaciones y boletines)</t>
        </is>
      </c>
      <c r="D6" s="4" t="inlineStr">
        <is>
          <t>Technical installations (certifications and installation certificates (boletines))</t>
        </is>
      </c>
      <c r="E6" s="4" t="n">
        <v>0</v>
      </c>
      <c r="F6" s="4" t="n">
        <v>4</v>
      </c>
      <c r="G6" s="4" t="n">
        <v>0</v>
      </c>
      <c r="H6">
        <f>SUM(E6:G6)</f>
        <v/>
      </c>
    </row>
    <row r="7">
      <c r="A7" s="4" t="inlineStr">
        <is>
          <t>ES-VIT</t>
        </is>
      </c>
      <c r="B7" s="4" t="inlineStr">
        <is>
          <t>Vitoria Factory</t>
        </is>
      </c>
      <c r="C7" s="4" t="inlineStr">
        <is>
          <t>Maquinaria, equipos e instalaciones reglamentarias</t>
        </is>
      </c>
      <c r="D7" s="4" t="inlineStr">
        <is>
          <t>Machinery, equipment and regulated installations</t>
        </is>
      </c>
      <c r="E7" s="4" t="n">
        <v>1</v>
      </c>
      <c r="F7" s="4" t="n">
        <v>6</v>
      </c>
      <c r="G7" s="4" t="n">
        <v>1</v>
      </c>
      <c r="H7">
        <f>SUM(E7:G7)</f>
        <v/>
      </c>
    </row>
    <row r="8">
      <c r="A8" s="4" t="inlineStr">
        <is>
          <t>ES-VIT</t>
        </is>
      </c>
      <c r="B8" s="4" t="inlineStr">
        <is>
          <t>Vitoria Factory</t>
        </is>
      </c>
      <c r="C8" s="4" t="inlineStr">
        <is>
          <t>Trabajos en caliente y soldadura</t>
        </is>
      </c>
      <c r="D8" s="4" t="inlineStr">
        <is>
          <t>Hot work and welding</t>
        </is>
      </c>
      <c r="E8" s="4" t="n">
        <v>0</v>
      </c>
      <c r="F8" s="4" t="n">
        <v>2</v>
      </c>
      <c r="G8" s="4" t="n">
        <v>0</v>
      </c>
      <c r="H8">
        <f>SUM(E8:G8)</f>
        <v/>
      </c>
    </row>
    <row r="9">
      <c r="A9" s="4" t="inlineStr">
        <is>
          <t>ES-VIT</t>
        </is>
      </c>
      <c r="B9" s="4" t="inlineStr">
        <is>
          <t>Vitoria Factory</t>
        </is>
      </c>
      <c r="C9" s="4" t="inlineStr">
        <is>
          <t>Zonas ATEX</t>
        </is>
      </c>
      <c r="D9" s="4" t="inlineStr">
        <is>
          <t>ATEX zones</t>
        </is>
      </c>
      <c r="E9" s="4" t="n">
        <v>0</v>
      </c>
      <c r="F9" s="4" t="n">
        <v>0</v>
      </c>
      <c r="G9" s="4" t="n">
        <v>8</v>
      </c>
      <c r="H9">
        <f>SUM(E9:G9)</f>
        <v/>
      </c>
    </row>
    <row r="10">
      <c r="A10" s="4" t="inlineStr">
        <is>
          <t>ES-VIT</t>
        </is>
      </c>
      <c r="B10" s="4" t="inlineStr">
        <is>
          <t>Vitoria Factory</t>
        </is>
      </c>
      <c r="C10" s="4" t="inlineStr">
        <is>
          <t>Caída de cargas/objetos</t>
        </is>
      </c>
      <c r="D10" s="4" t="inlineStr">
        <is>
          <t>Falling loads/objects</t>
        </is>
      </c>
      <c r="E10" s="4" t="n">
        <v>0</v>
      </c>
      <c r="F10" s="4" t="n">
        <v>3</v>
      </c>
      <c r="G10" s="4" t="n">
        <v>3</v>
      </c>
      <c r="H10">
        <f>SUM(E10:G10)</f>
        <v/>
      </c>
    </row>
    <row r="11">
      <c r="A11" s="4" t="inlineStr">
        <is>
          <t>ES-VIT</t>
        </is>
      </c>
      <c r="B11" s="4" t="inlineStr">
        <is>
          <t>Vitoria Factory</t>
        </is>
      </c>
      <c r="C11" s="4" t="inlineStr">
        <is>
          <t>Manipulación de cargas</t>
        </is>
      </c>
      <c r="D11" s="4" t="inlineStr">
        <is>
          <t>Load handling</t>
        </is>
      </c>
      <c r="E11" s="4" t="n">
        <v>0</v>
      </c>
      <c r="F11" s="4" t="n">
        <v>5</v>
      </c>
      <c r="G11" s="4" t="n">
        <v>1</v>
      </c>
      <c r="H11">
        <f>SUM(E11:G11)</f>
        <v/>
      </c>
    </row>
    <row r="12">
      <c r="A12" s="4" t="inlineStr">
        <is>
          <t>ES-VIT</t>
        </is>
      </c>
      <c r="B12" s="4" t="inlineStr">
        <is>
          <t>Vitoria Factory</t>
        </is>
      </c>
      <c r="C12" s="4" t="inlineStr">
        <is>
          <t>Vehículos</t>
        </is>
      </c>
      <c r="D12" s="4" t="inlineStr">
        <is>
          <t>Vehicles</t>
        </is>
      </c>
      <c r="E12" s="4" t="n">
        <v>0</v>
      </c>
      <c r="F12" s="4" t="n">
        <v>2</v>
      </c>
      <c r="G12" s="4" t="n">
        <v>3</v>
      </c>
      <c r="H12">
        <f>SUM(E12:G12)</f>
        <v/>
      </c>
    </row>
    <row r="13">
      <c r="A13" s="4" t="inlineStr">
        <is>
          <t>ES-VIT</t>
        </is>
      </c>
      <c r="B13" s="4" t="inlineStr">
        <is>
          <t>Vitoria Factory</t>
        </is>
      </c>
      <c r="C13" s="4" t="inlineStr">
        <is>
          <t>Agentes químicos y residuos peligrosos</t>
        </is>
      </c>
      <c r="D13" s="4" t="inlineStr">
        <is>
          <t>Chemical agents and hazardous waste</t>
        </is>
      </c>
      <c r="E13" s="4" t="n">
        <v>0</v>
      </c>
      <c r="F13" s="4" t="n">
        <v>1</v>
      </c>
      <c r="G13" s="4" t="n">
        <v>2</v>
      </c>
      <c r="H13">
        <f>SUM(E13:G13)</f>
        <v/>
      </c>
    </row>
    <row r="14">
      <c r="A14" s="4" t="inlineStr">
        <is>
          <t>ES-VIT</t>
        </is>
      </c>
      <c r="B14" s="4" t="inlineStr">
        <is>
          <t>Vitoria Factory</t>
        </is>
      </c>
      <c r="C14" s="4" t="inlineStr">
        <is>
          <t>Riesgos físicos</t>
        </is>
      </c>
      <c r="D14" s="4" t="inlineStr">
        <is>
          <t>Physical risks</t>
        </is>
      </c>
      <c r="E14" s="4" t="n">
        <v>0</v>
      </c>
      <c r="F14" s="4" t="n">
        <v>0</v>
      </c>
      <c r="G14" s="4" t="n">
        <v>1</v>
      </c>
      <c r="H14">
        <f>SUM(E14:G14)</f>
        <v/>
      </c>
    </row>
    <row r="15">
      <c r="A15" s="4" t="inlineStr">
        <is>
          <t>ES-VIT</t>
        </is>
      </c>
      <c r="B15" s="4" t="inlineStr">
        <is>
          <t>Vitoria Factory</t>
        </is>
      </c>
      <c r="C15" s="4" t="inlineStr">
        <is>
          <t>Riesgo de incendio</t>
        </is>
      </c>
      <c r="D15" s="4" t="inlineStr">
        <is>
          <t>Fire risk</t>
        </is>
      </c>
      <c r="E15" s="4" t="n">
        <v>1</v>
      </c>
      <c r="F15" s="4" t="n">
        <v>4</v>
      </c>
      <c r="G15" s="4" t="n">
        <v>4</v>
      </c>
      <c r="H15">
        <f>SUM(E15:G15)</f>
        <v/>
      </c>
    </row>
    <row r="16">
      <c r="A16" s="4" t="inlineStr">
        <is>
          <t>ES-VIT</t>
        </is>
      </c>
      <c r="B16" s="4" t="inlineStr">
        <is>
          <t>Vitoria Factory</t>
        </is>
      </c>
      <c r="C16" s="4" t="inlineStr">
        <is>
          <t>Carga y descarga</t>
        </is>
      </c>
      <c r="D16" s="4" t="inlineStr">
        <is>
          <t>Loading and unloading</t>
        </is>
      </c>
      <c r="E16" s="4" t="n">
        <v>0</v>
      </c>
      <c r="F16" s="4" t="n">
        <v>2</v>
      </c>
      <c r="G16" s="4" t="n">
        <v>2</v>
      </c>
      <c r="H16">
        <f>SUM(E16:G16)</f>
        <v/>
      </c>
    </row>
    <row r="17">
      <c r="A17" s="4" t="inlineStr">
        <is>
          <t>ES-VIT</t>
        </is>
      </c>
      <c r="B17" s="4" t="inlineStr">
        <is>
          <t>Vitoria Factory</t>
        </is>
      </c>
      <c r="C17" s="4" t="inlineStr">
        <is>
          <t>Gestión de contratistas</t>
        </is>
      </c>
      <c r="D17" s="4" t="inlineStr">
        <is>
          <t>Contractor management</t>
        </is>
      </c>
      <c r="E17" s="4" t="n">
        <v>0</v>
      </c>
      <c r="F17" s="4" t="n">
        <v>0</v>
      </c>
      <c r="G17" s="4" t="n">
        <v>5</v>
      </c>
      <c r="H17">
        <f>SUM(E17:G17)</f>
        <v/>
      </c>
    </row>
    <row r="18">
      <c r="A18" s="4" t="inlineStr">
        <is>
          <t>ES-VIT</t>
        </is>
      </c>
      <c r="B18" s="4" t="inlineStr">
        <is>
          <t>Vitoria Factory</t>
        </is>
      </c>
      <c r="C18" s="4" t="inlineStr">
        <is>
          <t>Puerta de carga</t>
        </is>
      </c>
      <c r="D18" s="4" t="inlineStr">
        <is>
          <t>Loading gate</t>
        </is>
      </c>
      <c r="E18" s="4" t="n">
        <v>0</v>
      </c>
      <c r="F18" s="4" t="n">
        <v>4</v>
      </c>
      <c r="G18" s="4" t="n">
        <v>1</v>
      </c>
      <c r="H18">
        <f>SUM(E18:G18)</f>
        <v/>
      </c>
    </row>
    <row r="19">
      <c r="A19" s="4" t="inlineStr">
        <is>
          <t>ES-MEC</t>
        </is>
      </c>
      <c r="B19" s="4" t="inlineStr">
        <is>
          <t>Meco Warehouse</t>
        </is>
      </c>
      <c r="C19" s="4" t="inlineStr">
        <is>
          <t>Licencias de apertura y actividad</t>
        </is>
      </c>
      <c r="D19" s="4" t="inlineStr">
        <is>
          <t>Opening and activity licences</t>
        </is>
      </c>
      <c r="E19" s="4" t="n">
        <v>1</v>
      </c>
      <c r="F19" s="4" t="n">
        <v>0</v>
      </c>
      <c r="G19" s="4" t="n">
        <v>0</v>
      </c>
      <c r="H19">
        <f>SUM(E19:G19)</f>
        <v/>
      </c>
    </row>
    <row r="20">
      <c r="A20" s="4" t="inlineStr">
        <is>
          <t>ES-MEC</t>
        </is>
      </c>
      <c r="B20" s="4" t="inlineStr">
        <is>
          <t>Meco Warehouse</t>
        </is>
      </c>
      <c r="C20" s="4" t="inlineStr">
        <is>
          <t>Instalaciones técnicas (certificaciones y boletines)</t>
        </is>
      </c>
      <c r="D20" s="4" t="inlineStr">
        <is>
          <t>Technical installations (certifications and installation certificates (boletines))</t>
        </is>
      </c>
      <c r="E20" s="4" t="n">
        <v>3</v>
      </c>
      <c r="F20" s="4" t="n">
        <v>0</v>
      </c>
      <c r="G20" s="4" t="n">
        <v>1</v>
      </c>
      <c r="H20">
        <f>SUM(E20:G20)</f>
        <v/>
      </c>
    </row>
    <row r="21">
      <c r="A21" s="4" t="inlineStr">
        <is>
          <t>ES-MEC</t>
        </is>
      </c>
      <c r="B21" s="4" t="inlineStr">
        <is>
          <t>Meco Warehouse</t>
        </is>
      </c>
      <c r="C21" s="4" t="inlineStr">
        <is>
          <t>Carga en altura</t>
        </is>
      </c>
      <c r="D21" s="4" t="inlineStr">
        <is>
          <t>Loads at height</t>
        </is>
      </c>
      <c r="E21" s="4" t="n">
        <v>0</v>
      </c>
      <c r="F21" s="4" t="n">
        <v>6</v>
      </c>
      <c r="G21" s="4" t="n">
        <v>0</v>
      </c>
      <c r="H21">
        <f>SUM(E21:G21)</f>
        <v/>
      </c>
    </row>
    <row r="22">
      <c r="A22" s="4" t="inlineStr">
        <is>
          <t>ES-MEC</t>
        </is>
      </c>
      <c r="B22" s="4" t="inlineStr">
        <is>
          <t>Meco Warehouse</t>
        </is>
      </c>
      <c r="C22" s="4" t="inlineStr">
        <is>
          <t>Puerta de carga</t>
        </is>
      </c>
      <c r="D22" s="4" t="inlineStr">
        <is>
          <t>Loading gate</t>
        </is>
      </c>
      <c r="E22" s="4" t="n">
        <v>5</v>
      </c>
      <c r="F22" s="4" t="n">
        <v>0</v>
      </c>
      <c r="G22" s="4" t="n">
        <v>0</v>
      </c>
      <c r="H22">
        <f>SUM(E22:G22)</f>
        <v/>
      </c>
    </row>
    <row r="23">
      <c r="A23" s="4" t="inlineStr">
        <is>
          <t>ES-MEC</t>
        </is>
      </c>
      <c r="B23" s="4" t="inlineStr">
        <is>
          <t>Meco Warehouse</t>
        </is>
      </c>
      <c r="C23" s="4" t="inlineStr">
        <is>
          <t>Manipulación de cargas</t>
        </is>
      </c>
      <c r="D23" s="4" t="inlineStr">
        <is>
          <t>Load handling</t>
        </is>
      </c>
      <c r="E23" s="4" t="n">
        <v>0</v>
      </c>
      <c r="F23" s="4" t="n">
        <v>0</v>
      </c>
      <c r="G23" s="4" t="n">
        <v>6</v>
      </c>
      <c r="H23">
        <f>SUM(E23:G23)</f>
        <v/>
      </c>
    </row>
    <row r="24">
      <c r="A24" s="4" t="inlineStr">
        <is>
          <t>ES-MEC</t>
        </is>
      </c>
      <c r="B24" s="4" t="inlineStr">
        <is>
          <t>Meco Warehouse</t>
        </is>
      </c>
      <c r="C24" s="4" t="inlineStr">
        <is>
          <t>Atrapamiento</t>
        </is>
      </c>
      <c r="D24" s="4" t="inlineStr">
        <is>
          <t>Entrapment</t>
        </is>
      </c>
      <c r="E24" s="4" t="n">
        <v>0</v>
      </c>
      <c r="F24" s="4" t="n">
        <v>0</v>
      </c>
      <c r="G24" s="4" t="n">
        <v>5</v>
      </c>
      <c r="H24">
        <f>SUM(E24:G24)</f>
        <v/>
      </c>
    </row>
    <row r="25">
      <c r="A25" s="4" t="inlineStr">
        <is>
          <t>ES-MEC</t>
        </is>
      </c>
      <c r="B25" s="4" t="inlineStr">
        <is>
          <t>Meco Warehouse</t>
        </is>
      </c>
      <c r="C25" s="4" t="inlineStr">
        <is>
          <t>Caída de cargas/objetos</t>
        </is>
      </c>
      <c r="D25" s="4" t="inlineStr">
        <is>
          <t>Falling loads/objects</t>
        </is>
      </c>
      <c r="E25" s="4" t="n">
        <v>0</v>
      </c>
      <c r="F25" s="4" t="n">
        <v>6</v>
      </c>
      <c r="G25" s="4" t="n">
        <v>0</v>
      </c>
      <c r="H25">
        <f>SUM(E25:G25)</f>
        <v/>
      </c>
    </row>
    <row r="26">
      <c r="A26" s="4" t="inlineStr">
        <is>
          <t>ES-MEC</t>
        </is>
      </c>
      <c r="B26" s="4" t="inlineStr">
        <is>
          <t>Meco Warehouse</t>
        </is>
      </c>
      <c r="C26" s="4" t="inlineStr">
        <is>
          <t>Zonas ATEX</t>
        </is>
      </c>
      <c r="D26" s="4" t="inlineStr">
        <is>
          <t>ATEX zones</t>
        </is>
      </c>
      <c r="E26" s="4" t="n">
        <v>8</v>
      </c>
      <c r="F26" s="4" t="n">
        <v>0</v>
      </c>
      <c r="G26" s="4" t="n">
        <v>0</v>
      </c>
      <c r="H26">
        <f>SUM(E26:G26)</f>
        <v/>
      </c>
    </row>
    <row r="27">
      <c r="A27" s="4" t="inlineStr">
        <is>
          <t>ES-MEC</t>
        </is>
      </c>
      <c r="B27" s="4" t="inlineStr">
        <is>
          <t>Meco Warehouse</t>
        </is>
      </c>
      <c r="C27" s="4" t="inlineStr">
        <is>
          <t>Trabajo en altura</t>
        </is>
      </c>
      <c r="D27" s="4" t="inlineStr">
        <is>
          <t>Work at height</t>
        </is>
      </c>
      <c r="E27" s="4" t="n">
        <v>6</v>
      </c>
      <c r="F27" s="4" t="n">
        <v>0</v>
      </c>
      <c r="G27" s="4" t="n">
        <v>0</v>
      </c>
      <c r="H27">
        <f>SUM(E27:G27)</f>
        <v/>
      </c>
    </row>
    <row r="28">
      <c r="A28" s="4" t="inlineStr">
        <is>
          <t>ES-MEC</t>
        </is>
      </c>
      <c r="B28" s="4" t="inlineStr">
        <is>
          <t>Meco Warehouse</t>
        </is>
      </c>
      <c r="C28" s="4" t="inlineStr">
        <is>
          <t>Vehículos</t>
        </is>
      </c>
      <c r="D28" s="4" t="inlineStr">
        <is>
          <t>Vehicles</t>
        </is>
      </c>
      <c r="E28" s="4" t="n">
        <v>0</v>
      </c>
      <c r="F28" s="4" t="n">
        <v>0</v>
      </c>
      <c r="G28" s="4" t="n">
        <v>5</v>
      </c>
      <c r="H28">
        <f>SUM(E28:G28)</f>
        <v/>
      </c>
    </row>
    <row r="29">
      <c r="A29" s="4" t="inlineStr">
        <is>
          <t>ES-MEC</t>
        </is>
      </c>
      <c r="B29" s="4" t="inlineStr">
        <is>
          <t>Meco Warehouse</t>
        </is>
      </c>
      <c r="C29" s="4" t="inlineStr">
        <is>
          <t>Riesgo de incendio</t>
        </is>
      </c>
      <c r="D29" s="4" t="inlineStr">
        <is>
          <t>Fire risk</t>
        </is>
      </c>
      <c r="E29" s="4" t="n">
        <v>1</v>
      </c>
      <c r="F29" s="4" t="n">
        <v>7</v>
      </c>
      <c r="G29" s="4" t="n">
        <v>0</v>
      </c>
      <c r="H29">
        <f>SUM(E29:G29)</f>
        <v/>
      </c>
    </row>
    <row r="30">
      <c r="A30" s="4" t="inlineStr">
        <is>
          <t>ES-MEC</t>
        </is>
      </c>
      <c r="B30" s="4" t="inlineStr">
        <is>
          <t>Meco Warehouse</t>
        </is>
      </c>
      <c r="C30" s="4" t="inlineStr">
        <is>
          <t>Gestión de contratistas</t>
        </is>
      </c>
      <c r="D30" s="4" t="inlineStr">
        <is>
          <t>Contractor management</t>
        </is>
      </c>
      <c r="E30" s="4" t="n">
        <v>0</v>
      </c>
      <c r="F30" s="4" t="n">
        <v>0</v>
      </c>
      <c r="G30" s="4" t="n">
        <v>5</v>
      </c>
      <c r="H30">
        <f>SUM(E30:G30)</f>
        <v/>
      </c>
    </row>
    <row r="31">
      <c r="A31" s="4" t="inlineStr">
        <is>
          <t>ES-MEC</t>
        </is>
      </c>
      <c r="B31" s="4" t="inlineStr">
        <is>
          <t>Meco Warehouse</t>
        </is>
      </c>
      <c r="C31" s="4" t="inlineStr">
        <is>
          <t>Carga y Descarga</t>
        </is>
      </c>
      <c r="D31" s="4" t="inlineStr">
        <is>
          <t>Loading and Unloading</t>
        </is>
      </c>
      <c r="E31" s="4" t="n">
        <v>0</v>
      </c>
      <c r="F31" s="4" t="n">
        <v>0</v>
      </c>
      <c r="G31" s="4" t="n">
        <v>4</v>
      </c>
      <c r="H31">
        <f>SUM(E31:G31)</f>
        <v/>
      </c>
    </row>
    <row r="32">
      <c r="A32" s="4" t="inlineStr">
        <is>
          <t>ES-SEV</t>
        </is>
      </c>
      <c r="B32" s="4" t="inlineStr">
        <is>
          <t>Sevilla Warehouse</t>
        </is>
      </c>
      <c r="C32" s="4" t="inlineStr">
        <is>
          <t>Licencias de apertura y actividad</t>
        </is>
      </c>
      <c r="D32" s="4" t="inlineStr">
        <is>
          <t>Opening and activity licences</t>
        </is>
      </c>
      <c r="E32" s="4" t="n">
        <v>1</v>
      </c>
      <c r="F32" s="4" t="n">
        <v>0</v>
      </c>
      <c r="G32" s="4" t="n">
        <v>0</v>
      </c>
      <c r="H32">
        <f>SUM(E32:G32)</f>
        <v/>
      </c>
    </row>
    <row r="33">
      <c r="A33" s="4" t="inlineStr">
        <is>
          <t>ES-SEV</t>
        </is>
      </c>
      <c r="B33" s="4" t="inlineStr">
        <is>
          <t>Sevilla Warehouse</t>
        </is>
      </c>
      <c r="C33" s="4" t="inlineStr">
        <is>
          <t>Instalaciones técnicas (certificaciones y boletines)</t>
        </is>
      </c>
      <c r="D33" s="4" t="inlineStr">
        <is>
          <t>Technical installations (certifications and installation certificates (boletines))</t>
        </is>
      </c>
      <c r="E33" s="4" t="n">
        <v>3</v>
      </c>
      <c r="F33" s="4" t="n">
        <v>1</v>
      </c>
      <c r="G33" s="4" t="n">
        <v>0</v>
      </c>
      <c r="H33">
        <f>SUM(E33:G33)</f>
        <v/>
      </c>
    </row>
    <row r="34">
      <c r="A34" s="4" t="inlineStr">
        <is>
          <t>ES-SEV</t>
        </is>
      </c>
      <c r="B34" s="4" t="inlineStr">
        <is>
          <t>Sevilla Warehouse</t>
        </is>
      </c>
      <c r="C34" s="4" t="inlineStr">
        <is>
          <t>Carga en altura</t>
        </is>
      </c>
      <c r="D34" s="4" t="inlineStr">
        <is>
          <t>Loads at height</t>
        </is>
      </c>
      <c r="E34" s="4" t="n">
        <v>2</v>
      </c>
      <c r="F34" s="4" t="n">
        <v>1</v>
      </c>
      <c r="G34" s="4" t="n">
        <v>2</v>
      </c>
      <c r="H34">
        <f>SUM(E34:G34)</f>
        <v/>
      </c>
    </row>
    <row r="35">
      <c r="A35" s="4" t="inlineStr">
        <is>
          <t>ES-SEV</t>
        </is>
      </c>
      <c r="B35" s="4" t="inlineStr">
        <is>
          <t>Sevilla Warehouse</t>
        </is>
      </c>
      <c r="C35" s="4" t="inlineStr">
        <is>
          <t>Puerta de carga</t>
        </is>
      </c>
      <c r="D35" s="4" t="inlineStr">
        <is>
          <t>Loading gate</t>
        </is>
      </c>
      <c r="E35" s="4" t="n">
        <v>0</v>
      </c>
      <c r="F35" s="4" t="n">
        <v>0</v>
      </c>
      <c r="G35" s="4" t="n">
        <v>2</v>
      </c>
      <c r="H35">
        <f>SUM(E35:G35)</f>
        <v/>
      </c>
    </row>
    <row r="36">
      <c r="A36" s="4" t="inlineStr">
        <is>
          <t>ES-SEV</t>
        </is>
      </c>
      <c r="B36" s="4" t="inlineStr">
        <is>
          <t>Sevilla Warehouse</t>
        </is>
      </c>
      <c r="C36" s="4" t="inlineStr">
        <is>
          <t>Manipulación de cargas</t>
        </is>
      </c>
      <c r="D36" s="4" t="inlineStr">
        <is>
          <t>Load handling</t>
        </is>
      </c>
      <c r="E36" s="4" t="n">
        <v>3</v>
      </c>
      <c r="F36" s="4" t="n">
        <v>3</v>
      </c>
      <c r="G36" s="4" t="n">
        <v>0</v>
      </c>
      <c r="H36">
        <f>SUM(E36:G36)</f>
        <v/>
      </c>
    </row>
    <row r="37">
      <c r="A37" s="4" t="inlineStr">
        <is>
          <t>ES-SEV</t>
        </is>
      </c>
      <c r="B37" s="4" t="inlineStr">
        <is>
          <t>Sevilla Warehouse</t>
        </is>
      </c>
      <c r="C37" s="4" t="inlineStr">
        <is>
          <t>Atrapamiento</t>
        </is>
      </c>
      <c r="D37" s="4" t="inlineStr">
        <is>
          <t>Entrapment</t>
        </is>
      </c>
      <c r="E37" s="4" t="n">
        <v>1</v>
      </c>
      <c r="F37" s="4" t="n">
        <v>2</v>
      </c>
      <c r="G37" s="4" t="n">
        <v>0</v>
      </c>
      <c r="H37">
        <f>SUM(E37:G37)</f>
        <v/>
      </c>
    </row>
    <row r="38">
      <c r="A38" s="4" t="inlineStr">
        <is>
          <t>ES-SEV</t>
        </is>
      </c>
      <c r="B38" s="4" t="inlineStr">
        <is>
          <t>Sevilla Warehouse</t>
        </is>
      </c>
      <c r="C38" s="4" t="inlineStr">
        <is>
          <t>Caída de cargas/objetos</t>
        </is>
      </c>
      <c r="D38" s="4" t="inlineStr">
        <is>
          <t>Falling loads/objects</t>
        </is>
      </c>
      <c r="E38" s="4" t="n">
        <v>0</v>
      </c>
      <c r="F38" s="4" t="n">
        <v>4</v>
      </c>
      <c r="G38" s="4" t="n">
        <v>1</v>
      </c>
      <c r="H38">
        <f>SUM(E38:G38)</f>
        <v/>
      </c>
    </row>
    <row r="39">
      <c r="A39" s="4" t="inlineStr">
        <is>
          <t>ES-SEV</t>
        </is>
      </c>
      <c r="B39" s="4" t="inlineStr">
        <is>
          <t>Sevilla Warehouse</t>
        </is>
      </c>
      <c r="C39" s="4" t="inlineStr">
        <is>
          <t>Zonas ATEX</t>
        </is>
      </c>
      <c r="D39" s="4" t="inlineStr">
        <is>
          <t>ATEX zones</t>
        </is>
      </c>
      <c r="E39" s="4" t="n">
        <v>7</v>
      </c>
      <c r="F39" s="4" t="n">
        <v>0</v>
      </c>
      <c r="G39" s="4" t="n">
        <v>0</v>
      </c>
      <c r="H39">
        <f>SUM(E39:G39)</f>
        <v/>
      </c>
    </row>
    <row r="40">
      <c r="A40" s="4" t="inlineStr">
        <is>
          <t>ES-SEV</t>
        </is>
      </c>
      <c r="B40" s="4" t="inlineStr">
        <is>
          <t>Sevilla Warehouse</t>
        </is>
      </c>
      <c r="C40" s="4" t="inlineStr">
        <is>
          <t>Vehículos</t>
        </is>
      </c>
      <c r="D40" s="4" t="inlineStr">
        <is>
          <t>Vehicles</t>
        </is>
      </c>
      <c r="E40" s="4" t="n">
        <v>2</v>
      </c>
      <c r="F40" s="4" t="n">
        <v>2</v>
      </c>
      <c r="G40" s="4" t="n">
        <v>1</v>
      </c>
      <c r="H40">
        <f>SUM(E40:G40)</f>
        <v/>
      </c>
    </row>
    <row r="41">
      <c r="A41" s="4" t="inlineStr">
        <is>
          <t>ES-SEV</t>
        </is>
      </c>
      <c r="B41" s="4" t="inlineStr">
        <is>
          <t>Sevilla Warehouse</t>
        </is>
      </c>
      <c r="C41" s="4" t="inlineStr">
        <is>
          <t>Riesgo de incendio</t>
        </is>
      </c>
      <c r="D41" s="4" t="inlineStr">
        <is>
          <t>Fire risk</t>
        </is>
      </c>
      <c r="E41" s="4" t="n">
        <v>3</v>
      </c>
      <c r="F41" s="4" t="n">
        <v>3</v>
      </c>
      <c r="G41" s="4" t="n">
        <v>2</v>
      </c>
      <c r="H41">
        <f>SUM(E41:G41)</f>
        <v/>
      </c>
    </row>
    <row r="42">
      <c r="A42" s="4" t="inlineStr">
        <is>
          <t>ES-SEV</t>
        </is>
      </c>
      <c r="B42" s="4" t="inlineStr">
        <is>
          <t>Sevilla Warehouse</t>
        </is>
      </c>
      <c r="C42" s="4" t="inlineStr">
        <is>
          <t>Gestión de contratistas</t>
        </is>
      </c>
      <c r="D42" s="4" t="inlineStr">
        <is>
          <t>Contractor management</t>
        </is>
      </c>
      <c r="E42" s="4" t="n">
        <v>0</v>
      </c>
      <c r="F42" s="4" t="n">
        <v>0</v>
      </c>
      <c r="G42" s="4" t="n">
        <v>4</v>
      </c>
      <c r="H42">
        <f>SUM(E42:G42)</f>
        <v/>
      </c>
    </row>
    <row r="43">
      <c r="A43" s="4" t="inlineStr">
        <is>
          <t>ES-SEV</t>
        </is>
      </c>
      <c r="B43" s="4" t="inlineStr">
        <is>
          <t>Sevilla Warehouse</t>
        </is>
      </c>
      <c r="C43" s="4" t="inlineStr">
        <is>
          <t>Carga y Descarga</t>
        </is>
      </c>
      <c r="D43" s="4" t="inlineStr">
        <is>
          <t>Loading and Unloading</t>
        </is>
      </c>
      <c r="E43" s="4" t="n">
        <v>2</v>
      </c>
      <c r="F43" s="4" t="n">
        <v>2</v>
      </c>
      <c r="G43" s="4" t="n">
        <v>0</v>
      </c>
      <c r="H43">
        <f>SUM(E43:G43)</f>
        <v/>
      </c>
    </row>
    <row r="44">
      <c r="A44" s="4" t="inlineStr">
        <is>
          <t>ES-VAL</t>
        </is>
      </c>
      <c r="B44" s="4" t="inlineStr">
        <is>
          <t>Valencia Warehouse</t>
        </is>
      </c>
      <c r="C44" s="4" t="inlineStr">
        <is>
          <t>Licencias de apertura y actividad</t>
        </is>
      </c>
      <c r="D44" s="4" t="inlineStr">
        <is>
          <t>Opening and activity licences</t>
        </is>
      </c>
      <c r="E44" s="4" t="n">
        <v>2</v>
      </c>
      <c r="F44" s="4" t="n">
        <v>0</v>
      </c>
      <c r="G44" s="4" t="n">
        <v>0</v>
      </c>
      <c r="H44">
        <f>SUM(E44:G44)</f>
        <v/>
      </c>
    </row>
    <row r="45">
      <c r="A45" s="4" t="inlineStr">
        <is>
          <t>ES-VAL</t>
        </is>
      </c>
      <c r="B45" s="4" t="inlineStr">
        <is>
          <t>Valencia Warehouse</t>
        </is>
      </c>
      <c r="C45" s="4" t="inlineStr">
        <is>
          <t>Instalaciones técnicas (certificaciones y boletines)</t>
        </is>
      </c>
      <c r="D45" s="4" t="inlineStr">
        <is>
          <t>Technical installations (certifications and installation certificates (boletines))</t>
        </is>
      </c>
      <c r="E45" s="4" t="n">
        <v>2</v>
      </c>
      <c r="F45" s="4" t="n">
        <v>2</v>
      </c>
      <c r="G45" s="4" t="n">
        <v>0</v>
      </c>
      <c r="H45">
        <f>SUM(E45:G45)</f>
        <v/>
      </c>
    </row>
    <row r="46">
      <c r="A46" s="4" t="inlineStr">
        <is>
          <t>ES-VAL</t>
        </is>
      </c>
      <c r="B46" s="4" t="inlineStr">
        <is>
          <t>Valencia Warehouse</t>
        </is>
      </c>
      <c r="C46" s="4" t="inlineStr">
        <is>
          <t>Carga en altura</t>
        </is>
      </c>
      <c r="D46" s="4" t="inlineStr">
        <is>
          <t>Loads at height</t>
        </is>
      </c>
      <c r="E46" s="4" t="n">
        <v>1</v>
      </c>
      <c r="F46" s="4" t="n">
        <v>4</v>
      </c>
      <c r="G46" s="4" t="n">
        <v>1</v>
      </c>
      <c r="H46">
        <f>SUM(E46:G46)</f>
        <v/>
      </c>
    </row>
    <row r="47">
      <c r="A47" s="4" t="inlineStr">
        <is>
          <t>ES-VAL</t>
        </is>
      </c>
      <c r="B47" s="4" t="inlineStr">
        <is>
          <t>Valencia Warehouse</t>
        </is>
      </c>
      <c r="C47" s="4" t="inlineStr">
        <is>
          <t>Puerta de carga</t>
        </is>
      </c>
      <c r="D47" s="4" t="inlineStr">
        <is>
          <t>Loading gate</t>
        </is>
      </c>
      <c r="E47" s="4" t="n">
        <v>1</v>
      </c>
      <c r="F47" s="4" t="n">
        <v>0</v>
      </c>
      <c r="G47" s="4" t="n">
        <v>1</v>
      </c>
      <c r="H47">
        <f>SUM(E47:G47)</f>
        <v/>
      </c>
    </row>
    <row r="48">
      <c r="A48" s="4" t="inlineStr">
        <is>
          <t>ES-VAL</t>
        </is>
      </c>
      <c r="B48" s="4" t="inlineStr">
        <is>
          <t>Valencia Warehouse</t>
        </is>
      </c>
      <c r="C48" s="4" t="inlineStr">
        <is>
          <t>Manipulación de cargas</t>
        </is>
      </c>
      <c r="D48" s="4" t="inlineStr">
        <is>
          <t>Load handling</t>
        </is>
      </c>
      <c r="E48" s="4" t="n">
        <v>1</v>
      </c>
      <c r="F48" s="4" t="n">
        <v>5</v>
      </c>
      <c r="G48" s="4" t="n">
        <v>0</v>
      </c>
      <c r="H48">
        <f>SUM(E48:G48)</f>
        <v/>
      </c>
    </row>
    <row r="49">
      <c r="A49" s="4" t="inlineStr">
        <is>
          <t>ES-VAL</t>
        </is>
      </c>
      <c r="B49" s="4" t="inlineStr">
        <is>
          <t>Valencia Warehouse</t>
        </is>
      </c>
      <c r="C49" s="4" t="inlineStr">
        <is>
          <t>Atrapamiento</t>
        </is>
      </c>
      <c r="D49" s="4" t="inlineStr">
        <is>
          <t>Entrapment</t>
        </is>
      </c>
      <c r="E49" s="4" t="n">
        <v>0</v>
      </c>
      <c r="F49" s="4" t="n">
        <v>1</v>
      </c>
      <c r="G49" s="4" t="n">
        <v>0</v>
      </c>
      <c r="H49">
        <f>SUM(E49:G49)</f>
        <v/>
      </c>
    </row>
    <row r="50">
      <c r="A50" s="4" t="inlineStr">
        <is>
          <t>ES-VAL</t>
        </is>
      </c>
      <c r="B50" s="4" t="inlineStr">
        <is>
          <t>Valencia Warehouse</t>
        </is>
      </c>
      <c r="C50" s="4" t="inlineStr">
        <is>
          <t>Caída de cargas/objetos</t>
        </is>
      </c>
      <c r="D50" s="4" t="inlineStr">
        <is>
          <t>Falling loads/objects</t>
        </is>
      </c>
      <c r="E50" s="4" t="n">
        <v>0</v>
      </c>
      <c r="F50" s="4" t="n">
        <v>6</v>
      </c>
      <c r="G50" s="4" t="n">
        <v>0</v>
      </c>
      <c r="H50">
        <f>SUM(E50:G50)</f>
        <v/>
      </c>
    </row>
    <row r="51">
      <c r="A51" s="4" t="inlineStr">
        <is>
          <t>ES-VAL</t>
        </is>
      </c>
      <c r="B51" s="4" t="inlineStr">
        <is>
          <t>Valencia Warehouse</t>
        </is>
      </c>
      <c r="C51" s="4" t="inlineStr">
        <is>
          <t>Zonas ATEX</t>
        </is>
      </c>
      <c r="D51" s="4" t="inlineStr">
        <is>
          <t>ATEX zones</t>
        </is>
      </c>
      <c r="E51" s="4" t="n">
        <v>8</v>
      </c>
      <c r="F51" s="4" t="n">
        <v>0</v>
      </c>
      <c r="G51" s="4" t="n">
        <v>0</v>
      </c>
      <c r="H51">
        <f>SUM(E51:G51)</f>
        <v/>
      </c>
    </row>
    <row r="52">
      <c r="A52" s="4" t="inlineStr">
        <is>
          <t>ES-VAL</t>
        </is>
      </c>
      <c r="B52" s="4" t="inlineStr">
        <is>
          <t>Valencia Warehouse</t>
        </is>
      </c>
      <c r="C52" s="4" t="inlineStr">
        <is>
          <t>Vehículos</t>
        </is>
      </c>
      <c r="D52" s="4" t="inlineStr">
        <is>
          <t>Vehicles</t>
        </is>
      </c>
      <c r="E52" s="4" t="n">
        <v>3</v>
      </c>
      <c r="F52" s="4" t="n">
        <v>2</v>
      </c>
      <c r="G52" s="4" t="n">
        <v>0</v>
      </c>
      <c r="H52">
        <f>SUM(E52:G52)</f>
        <v/>
      </c>
    </row>
    <row r="53">
      <c r="A53" s="4" t="inlineStr">
        <is>
          <t>ES-VAL</t>
        </is>
      </c>
      <c r="B53" s="4" t="inlineStr">
        <is>
          <t>Valencia Warehouse</t>
        </is>
      </c>
      <c r="C53" s="4" t="inlineStr">
        <is>
          <t>Riesgo de incendio</t>
        </is>
      </c>
      <c r="D53" s="4" t="inlineStr">
        <is>
          <t>Fire risk</t>
        </is>
      </c>
      <c r="E53" s="4" t="n">
        <v>2</v>
      </c>
      <c r="F53" s="4" t="n">
        <v>4</v>
      </c>
      <c r="G53" s="4" t="n">
        <v>2</v>
      </c>
      <c r="H53">
        <f>SUM(E53:G53)</f>
        <v/>
      </c>
    </row>
    <row r="54">
      <c r="A54" s="4" t="inlineStr">
        <is>
          <t>ES-VAL</t>
        </is>
      </c>
      <c r="B54" s="4" t="inlineStr">
        <is>
          <t>Valencia Warehouse</t>
        </is>
      </c>
      <c r="C54" s="4" t="inlineStr">
        <is>
          <t>Gestión de contratistas</t>
        </is>
      </c>
      <c r="D54" s="4" t="inlineStr">
        <is>
          <t>Contractor management</t>
        </is>
      </c>
      <c r="E54" s="4" t="n">
        <v>1</v>
      </c>
      <c r="F54" s="4" t="n">
        <v>0</v>
      </c>
      <c r="G54" s="4" t="n">
        <v>4</v>
      </c>
      <c r="H54">
        <f>SUM(E54:G54)</f>
        <v/>
      </c>
    </row>
    <row r="55">
      <c r="A55" s="4" t="inlineStr">
        <is>
          <t>ES-VAL</t>
        </is>
      </c>
      <c r="B55" s="4" t="inlineStr">
        <is>
          <t>Valencia Warehouse</t>
        </is>
      </c>
      <c r="C55" s="4" t="inlineStr">
        <is>
          <t>Carga y Descarga</t>
        </is>
      </c>
      <c r="D55" s="4" t="inlineStr">
        <is>
          <t>Loading and Unloading</t>
        </is>
      </c>
      <c r="E55" s="4" t="n">
        <v>0</v>
      </c>
      <c r="F55" s="4" t="n">
        <v>4</v>
      </c>
      <c r="G55" s="4" t="n">
        <v>0</v>
      </c>
      <c r="H55">
        <f>SUM(E55:G55)</f>
        <v/>
      </c>
    </row>
    <row r="56">
      <c r="A56" s="4" t="inlineStr">
        <is>
          <t>ES-BUR</t>
        </is>
      </c>
      <c r="B56" s="4" t="inlineStr">
        <is>
          <t>Burgos Warehouse</t>
        </is>
      </c>
      <c r="C56" s="4" t="inlineStr">
        <is>
          <t>Licencias de apertura y actividad</t>
        </is>
      </c>
      <c r="D56" s="4" t="inlineStr">
        <is>
          <t>Opening and activity licences</t>
        </is>
      </c>
      <c r="E56" s="4" t="n">
        <v>1</v>
      </c>
      <c r="F56" s="4" t="n">
        <v>0</v>
      </c>
      <c r="G56" s="4" t="n">
        <v>0</v>
      </c>
      <c r="H56">
        <f>SUM(E56:G56)</f>
        <v/>
      </c>
    </row>
    <row r="57">
      <c r="A57" s="4" t="inlineStr">
        <is>
          <t>ES-BUR</t>
        </is>
      </c>
      <c r="B57" s="4" t="inlineStr">
        <is>
          <t>Burgos Warehouse</t>
        </is>
      </c>
      <c r="C57" s="4" t="inlineStr">
        <is>
          <t>Instalaciones técnicas (certificaciones y boletines)</t>
        </is>
      </c>
      <c r="D57" s="4" t="inlineStr">
        <is>
          <t>Technical installations (certifications and installation certificates (boletines))</t>
        </is>
      </c>
      <c r="E57" s="4" t="n">
        <v>2</v>
      </c>
      <c r="F57" s="4" t="n">
        <v>0</v>
      </c>
      <c r="G57" s="4" t="n">
        <v>1</v>
      </c>
      <c r="H57">
        <f>SUM(E57:G57)</f>
        <v/>
      </c>
    </row>
    <row r="58">
      <c r="A58" s="4" t="inlineStr">
        <is>
          <t>ES-BUR</t>
        </is>
      </c>
      <c r="B58" s="4" t="inlineStr">
        <is>
          <t>Burgos Warehouse</t>
        </is>
      </c>
      <c r="C58" s="4" t="inlineStr">
        <is>
          <t>Carga en altura</t>
        </is>
      </c>
      <c r="D58" s="4" t="inlineStr">
        <is>
          <t>Loads at height</t>
        </is>
      </c>
      <c r="E58" s="4" t="n">
        <v>0</v>
      </c>
      <c r="F58" s="4" t="n">
        <v>6</v>
      </c>
      <c r="G58" s="4" t="n">
        <v>0</v>
      </c>
      <c r="H58">
        <f>SUM(E58:G58)</f>
        <v/>
      </c>
    </row>
    <row r="59">
      <c r="A59" s="4" t="inlineStr">
        <is>
          <t>ES-BUR</t>
        </is>
      </c>
      <c r="B59" s="4" t="inlineStr">
        <is>
          <t>Burgos Warehouse</t>
        </is>
      </c>
      <c r="C59" s="4" t="inlineStr">
        <is>
          <t>Puerta de carga</t>
        </is>
      </c>
      <c r="D59" s="4" t="inlineStr">
        <is>
          <t>Loading gate</t>
        </is>
      </c>
      <c r="E59" s="4" t="n">
        <v>0</v>
      </c>
      <c r="F59" s="4" t="n">
        <v>5</v>
      </c>
      <c r="G59" s="4" t="n">
        <v>0</v>
      </c>
      <c r="H59">
        <f>SUM(E59:G59)</f>
        <v/>
      </c>
    </row>
    <row r="60">
      <c r="A60" s="4" t="inlineStr">
        <is>
          <t>ES-BUR</t>
        </is>
      </c>
      <c r="B60" s="4" t="inlineStr">
        <is>
          <t>Burgos Warehouse</t>
        </is>
      </c>
      <c r="C60" s="4" t="inlineStr">
        <is>
          <t>Manipulación de cargas</t>
        </is>
      </c>
      <c r="D60" s="4" t="inlineStr">
        <is>
          <t>Load handling</t>
        </is>
      </c>
      <c r="E60" s="4" t="n">
        <v>0</v>
      </c>
      <c r="F60" s="4" t="n">
        <v>6</v>
      </c>
      <c r="G60" s="4" t="n">
        <v>0</v>
      </c>
      <c r="H60">
        <f>SUM(E60:G60)</f>
        <v/>
      </c>
    </row>
    <row r="61">
      <c r="A61" s="4" t="inlineStr">
        <is>
          <t>ES-BUR</t>
        </is>
      </c>
      <c r="B61" s="4" t="inlineStr">
        <is>
          <t>Burgos Warehouse</t>
        </is>
      </c>
      <c r="C61" s="4" t="inlineStr">
        <is>
          <t>Atrapamiento</t>
        </is>
      </c>
      <c r="D61" s="4" t="inlineStr">
        <is>
          <t>Entrapment</t>
        </is>
      </c>
      <c r="E61" s="4" t="n">
        <v>0</v>
      </c>
      <c r="F61" s="4" t="n">
        <v>5</v>
      </c>
      <c r="G61" s="4" t="n">
        <v>0</v>
      </c>
      <c r="H61">
        <f>SUM(E61:G61)</f>
        <v/>
      </c>
    </row>
    <row r="62">
      <c r="A62" s="4" t="inlineStr">
        <is>
          <t>ES-BUR</t>
        </is>
      </c>
      <c r="B62" s="4" t="inlineStr">
        <is>
          <t>Burgos Warehouse</t>
        </is>
      </c>
      <c r="C62" s="4" t="inlineStr">
        <is>
          <t>Caída de cargas/objetos</t>
        </is>
      </c>
      <c r="D62" s="4" t="inlineStr">
        <is>
          <t>Falling loads/objects</t>
        </is>
      </c>
      <c r="E62" s="4" t="n">
        <v>0</v>
      </c>
      <c r="F62" s="4" t="n">
        <v>6</v>
      </c>
      <c r="G62" s="4" t="n">
        <v>0</v>
      </c>
      <c r="H62">
        <f>SUM(E62:G62)</f>
        <v/>
      </c>
    </row>
    <row r="63">
      <c r="A63" s="4" t="inlineStr">
        <is>
          <t>ES-BUR</t>
        </is>
      </c>
      <c r="B63" s="4" t="inlineStr">
        <is>
          <t>Burgos Warehouse</t>
        </is>
      </c>
      <c r="C63" s="4" t="inlineStr">
        <is>
          <t>Vehículos</t>
        </is>
      </c>
      <c r="D63" s="4" t="inlineStr">
        <is>
          <t>Vehicles</t>
        </is>
      </c>
      <c r="E63" s="4" t="n">
        <v>0</v>
      </c>
      <c r="F63" s="4" t="n">
        <v>5</v>
      </c>
      <c r="G63" s="4" t="n">
        <v>0</v>
      </c>
      <c r="H63">
        <f>SUM(E63:G63)</f>
        <v/>
      </c>
    </row>
    <row r="64">
      <c r="A64" s="4" t="inlineStr">
        <is>
          <t>ES-BUR</t>
        </is>
      </c>
      <c r="B64" s="4" t="inlineStr">
        <is>
          <t>Burgos Warehouse</t>
        </is>
      </c>
      <c r="C64" s="4" t="inlineStr">
        <is>
          <t>Riesgo de incendio</t>
        </is>
      </c>
      <c r="D64" s="4" t="inlineStr">
        <is>
          <t>Fire risk</t>
        </is>
      </c>
      <c r="E64" s="4" t="n">
        <v>8</v>
      </c>
      <c r="F64" s="4" t="n">
        <v>0</v>
      </c>
      <c r="G64" s="4" t="n">
        <v>0</v>
      </c>
      <c r="H64">
        <f>SUM(E64:G64)</f>
        <v/>
      </c>
    </row>
    <row r="65">
      <c r="A65" s="4" t="inlineStr">
        <is>
          <t>ES-BUR</t>
        </is>
      </c>
      <c r="B65" s="4" t="inlineStr">
        <is>
          <t>Burgos Warehouse</t>
        </is>
      </c>
      <c r="C65" s="4" t="inlineStr">
        <is>
          <t>Gestión de contratistas</t>
        </is>
      </c>
      <c r="D65" s="4" t="inlineStr">
        <is>
          <t>Contractor management</t>
        </is>
      </c>
      <c r="E65" s="4" t="n">
        <v>0</v>
      </c>
      <c r="F65" s="4" t="n">
        <v>5</v>
      </c>
      <c r="G65" s="4" t="n">
        <v>0</v>
      </c>
      <c r="H65">
        <f>SUM(E65:G65)</f>
        <v/>
      </c>
    </row>
    <row r="66">
      <c r="A66" s="4" t="inlineStr">
        <is>
          <t>ES-BUR</t>
        </is>
      </c>
      <c r="B66" s="4" t="inlineStr">
        <is>
          <t>Burgos Warehouse</t>
        </is>
      </c>
      <c r="C66" s="4" t="inlineStr">
        <is>
          <t>Carga y Descarga</t>
        </is>
      </c>
      <c r="D66" s="4" t="inlineStr">
        <is>
          <t>Loading and Unloading</t>
        </is>
      </c>
      <c r="E66" s="4" t="n">
        <v>0</v>
      </c>
      <c r="F66" s="4" t="n">
        <v>0</v>
      </c>
      <c r="G66" s="4" t="n">
        <v>4</v>
      </c>
      <c r="H66">
        <f>SUM(E66:G66)</f>
        <v/>
      </c>
    </row>
    <row r="67">
      <c r="A67" s="4" t="inlineStr">
        <is>
          <t>ES-AND</t>
        </is>
      </c>
      <c r="B67" s="4" t="inlineStr">
        <is>
          <t>Andoain Warehouse</t>
        </is>
      </c>
      <c r="C67" s="4" t="inlineStr">
        <is>
          <t>Licencias de apertura y actividad</t>
        </is>
      </c>
      <c r="D67" s="4" t="inlineStr">
        <is>
          <t>Opening and activity licences</t>
        </is>
      </c>
      <c r="E67" s="4" t="n">
        <v>1</v>
      </c>
      <c r="F67" s="4" t="n">
        <v>0</v>
      </c>
      <c r="G67" s="4" t="n">
        <v>0</v>
      </c>
      <c r="H67">
        <f>SUM(E67:G67)</f>
        <v/>
      </c>
    </row>
    <row r="68">
      <c r="A68" s="4" t="inlineStr">
        <is>
          <t>ES-AND</t>
        </is>
      </c>
      <c r="B68" s="4" t="inlineStr">
        <is>
          <t>Andoain Warehouse</t>
        </is>
      </c>
      <c r="C68" s="4" t="inlineStr">
        <is>
          <t>Instalaciones técnicas (certificaciones y boletines)</t>
        </is>
      </c>
      <c r="D68" s="4" t="inlineStr">
        <is>
          <t>Technical installations (certifications and installation certificates (boletines))</t>
        </is>
      </c>
      <c r="E68" s="4" t="n">
        <v>0</v>
      </c>
      <c r="F68" s="4" t="n">
        <v>2</v>
      </c>
      <c r="G68" s="4" t="n">
        <v>1</v>
      </c>
      <c r="H68">
        <f>SUM(E68:G68)</f>
        <v/>
      </c>
    </row>
    <row r="69">
      <c r="A69" s="4" t="inlineStr">
        <is>
          <t>ES-AND</t>
        </is>
      </c>
      <c r="B69" s="4" t="inlineStr">
        <is>
          <t>Andoain Warehouse</t>
        </is>
      </c>
      <c r="C69" s="4" t="inlineStr">
        <is>
          <t>Carga en altura</t>
        </is>
      </c>
      <c r="D69" s="4" t="inlineStr">
        <is>
          <t>Loads at height</t>
        </is>
      </c>
      <c r="E69" s="4" t="n">
        <v>0</v>
      </c>
      <c r="F69" s="4" t="n">
        <v>2</v>
      </c>
      <c r="G69" s="4" t="n">
        <v>0</v>
      </c>
      <c r="H69">
        <f>SUM(E69:G69)</f>
        <v/>
      </c>
    </row>
    <row r="70">
      <c r="A70" s="4" t="inlineStr">
        <is>
          <t>ES-AND</t>
        </is>
      </c>
      <c r="B70" s="4" t="inlineStr">
        <is>
          <t>Andoain Warehouse</t>
        </is>
      </c>
      <c r="C70" s="4" t="inlineStr">
        <is>
          <t>Puerta de carga</t>
        </is>
      </c>
      <c r="D70" s="4" t="inlineStr">
        <is>
          <t>Loading gate</t>
        </is>
      </c>
      <c r="E70" s="4" t="n">
        <v>0</v>
      </c>
      <c r="F70" s="4" t="n">
        <v>0</v>
      </c>
      <c r="G70" s="4" t="n">
        <v>5</v>
      </c>
      <c r="H70">
        <f>SUM(E70:G70)</f>
        <v/>
      </c>
    </row>
    <row r="71">
      <c r="A71" s="4" t="inlineStr">
        <is>
          <t>ES-AND</t>
        </is>
      </c>
      <c r="B71" s="4" t="inlineStr">
        <is>
          <t>Andoain Warehouse</t>
        </is>
      </c>
      <c r="C71" s="4" t="inlineStr">
        <is>
          <t>Manipulación de cargas</t>
        </is>
      </c>
      <c r="D71" s="4" t="inlineStr">
        <is>
          <t>Load handling</t>
        </is>
      </c>
      <c r="E71" s="4" t="n">
        <v>0</v>
      </c>
      <c r="F71" s="4" t="n">
        <v>2</v>
      </c>
      <c r="G71" s="4" t="n">
        <v>4</v>
      </c>
      <c r="H71">
        <f>SUM(E71:G71)</f>
        <v/>
      </c>
    </row>
    <row r="72">
      <c r="A72" s="4" t="inlineStr">
        <is>
          <t>ES-AND</t>
        </is>
      </c>
      <c r="B72" s="4" t="inlineStr">
        <is>
          <t>Andoain Warehouse</t>
        </is>
      </c>
      <c r="C72" s="4" t="inlineStr">
        <is>
          <t>Zonas ATEX</t>
        </is>
      </c>
      <c r="D72" s="4" t="inlineStr">
        <is>
          <t>ATEX zones</t>
        </is>
      </c>
      <c r="E72" s="4" t="n">
        <v>0</v>
      </c>
      <c r="F72" s="4" t="n">
        <v>0</v>
      </c>
      <c r="G72" s="4" t="n">
        <v>6</v>
      </c>
      <c r="H72">
        <f>SUM(E72:G72)</f>
        <v/>
      </c>
    </row>
    <row r="73">
      <c r="A73" s="4" t="inlineStr">
        <is>
          <t>ES-AND</t>
        </is>
      </c>
      <c r="B73" s="4" t="inlineStr">
        <is>
          <t>Andoain Warehouse</t>
        </is>
      </c>
      <c r="C73" s="4" t="inlineStr">
        <is>
          <t>Vehículos</t>
        </is>
      </c>
      <c r="D73" s="4" t="inlineStr">
        <is>
          <t>Vehicles</t>
        </is>
      </c>
      <c r="E73" s="4" t="n">
        <v>0</v>
      </c>
      <c r="F73" s="4" t="n">
        <v>1</v>
      </c>
      <c r="G73" s="4" t="n">
        <v>4</v>
      </c>
      <c r="H73">
        <f>SUM(E73:G73)</f>
        <v/>
      </c>
    </row>
    <row r="74">
      <c r="A74" s="4" t="inlineStr">
        <is>
          <t>ES-AND</t>
        </is>
      </c>
      <c r="B74" s="4" t="inlineStr">
        <is>
          <t>Andoain Warehouse</t>
        </is>
      </c>
      <c r="C74" s="4" t="inlineStr">
        <is>
          <t>Riesgo de incendio</t>
        </is>
      </c>
      <c r="D74" s="4" t="inlineStr">
        <is>
          <t>Fire risk</t>
        </is>
      </c>
      <c r="E74" s="4" t="n">
        <v>1</v>
      </c>
      <c r="F74" s="4" t="n">
        <v>1</v>
      </c>
      <c r="G74" s="4" t="n">
        <v>6</v>
      </c>
      <c r="H74">
        <f>SUM(E74:G74)</f>
        <v/>
      </c>
    </row>
    <row r="75">
      <c r="A75" s="4" t="inlineStr">
        <is>
          <t>ES-AND</t>
        </is>
      </c>
      <c r="B75" s="4" t="inlineStr">
        <is>
          <t>Andoain Warehouse</t>
        </is>
      </c>
      <c r="C75" s="4" t="inlineStr">
        <is>
          <t>Gestión de contratistas</t>
        </is>
      </c>
      <c r="D75" s="4" t="inlineStr">
        <is>
          <t>Contractor management</t>
        </is>
      </c>
      <c r="E75" s="4" t="n">
        <v>0</v>
      </c>
      <c r="F75" s="4" t="n">
        <v>2</v>
      </c>
      <c r="G75" s="4" t="n">
        <v>3</v>
      </c>
      <c r="H75">
        <f>SUM(E75:G75)</f>
        <v/>
      </c>
    </row>
    <row r="76">
      <c r="A76" s="4" t="inlineStr">
        <is>
          <t>ES-AND</t>
        </is>
      </c>
      <c r="B76" s="4" t="inlineStr">
        <is>
          <t>Andoain Warehouse</t>
        </is>
      </c>
      <c r="C76" s="4" t="inlineStr">
        <is>
          <t>Carga y Descarga</t>
        </is>
      </c>
      <c r="D76" s="4" t="inlineStr">
        <is>
          <t>Loading and Unloading</t>
        </is>
      </c>
      <c r="E76" s="4" t="n">
        <v>0</v>
      </c>
      <c r="F76" s="4" t="n">
        <v>1</v>
      </c>
      <c r="G76" s="4" t="n">
        <v>2</v>
      </c>
      <c r="H76">
        <f>SUM(E76:G76)</f>
        <v/>
      </c>
    </row>
    <row r="77">
      <c r="A77" s="4" t="inlineStr">
        <is>
          <t>ES-AND</t>
        </is>
      </c>
      <c r="B77" s="4" t="inlineStr">
        <is>
          <t>Andoain Warehouse</t>
        </is>
      </c>
      <c r="C77" s="4" t="inlineStr">
        <is>
          <t>Agentes químicos y residuos peligrosos</t>
        </is>
      </c>
      <c r="D77" s="4" t="inlineStr">
        <is>
          <t>Chemical agents and hazardous waste</t>
        </is>
      </c>
      <c r="E77" s="4" t="n">
        <v>0</v>
      </c>
      <c r="F77" s="4" t="n">
        <v>2</v>
      </c>
      <c r="G77" s="4" t="n">
        <v>3</v>
      </c>
      <c r="H77">
        <f>SUM(E77:G77)</f>
        <v/>
      </c>
    </row>
    <row r="78">
      <c r="A78" s="4" t="inlineStr">
        <is>
          <t>ES-MAD</t>
        </is>
      </c>
      <c r="B78" s="4" t="inlineStr">
        <is>
          <t>Madrid Office</t>
        </is>
      </c>
      <c r="C78" s="4" t="inlineStr">
        <is>
          <t>Licencias de apertura y actividad</t>
        </is>
      </c>
      <c r="D78" s="4" t="inlineStr">
        <is>
          <t>Opening and activity licences</t>
        </is>
      </c>
      <c r="E78" s="4" t="n">
        <v>2</v>
      </c>
      <c r="F78" s="4" t="n">
        <v>0</v>
      </c>
      <c r="G78" s="4" t="n">
        <v>1</v>
      </c>
      <c r="H78">
        <f>SUM(E78:G78)</f>
        <v/>
      </c>
    </row>
    <row r="79">
      <c r="A79" s="4" t="inlineStr">
        <is>
          <t>ES-MAD</t>
        </is>
      </c>
      <c r="B79" s="4" t="inlineStr">
        <is>
          <t>Madrid Office</t>
        </is>
      </c>
      <c r="C79" s="4" t="inlineStr">
        <is>
          <t>Instalaciones técnicas — certificaciones y boletines</t>
        </is>
      </c>
      <c r="D79" s="4" t="inlineStr">
        <is>
          <t>Technical installations — certifications and installation certificates (boletines)</t>
        </is>
      </c>
      <c r="E79" s="4" t="n">
        <v>1</v>
      </c>
      <c r="F79" s="4" t="n">
        <v>4</v>
      </c>
      <c r="G79" s="4" t="n">
        <v>0</v>
      </c>
      <c r="H79">
        <f>SUM(E79:G79)</f>
        <v/>
      </c>
    </row>
    <row r="80">
      <c r="A80" s="4" t="inlineStr">
        <is>
          <t>ES-MAD</t>
        </is>
      </c>
      <c r="B80" s="4" t="inlineStr">
        <is>
          <t>Madrid Office</t>
        </is>
      </c>
      <c r="C80" s="4" t="inlineStr">
        <is>
          <t>Riesgo psicosocial</t>
        </is>
      </c>
      <c r="D80" s="4" t="inlineStr">
        <is>
          <t>Psychosocial risk</t>
        </is>
      </c>
      <c r="E80" s="4" t="n">
        <v>0</v>
      </c>
      <c r="F80" s="4" t="n">
        <v>0</v>
      </c>
      <c r="G80" s="4" t="n">
        <v>5</v>
      </c>
      <c r="H80">
        <f>SUM(E80:G80)</f>
        <v/>
      </c>
    </row>
    <row r="81">
      <c r="A81" s="4" t="inlineStr">
        <is>
          <t>ES-MAD</t>
        </is>
      </c>
      <c r="B81" s="4" t="inlineStr">
        <is>
          <t>Madrid Office</t>
        </is>
      </c>
      <c r="C81" s="4" t="inlineStr">
        <is>
          <t>Riesgo de incendio</t>
        </is>
      </c>
      <c r="D81" s="4" t="inlineStr">
        <is>
          <t>Fire risk</t>
        </is>
      </c>
      <c r="E81" s="4" t="n">
        <v>5</v>
      </c>
      <c r="F81" s="4" t="n">
        <v>0</v>
      </c>
      <c r="G81" s="4" t="n">
        <v>0</v>
      </c>
      <c r="H81">
        <f>SUM(E81:G81)</f>
        <v/>
      </c>
    </row>
    <row r="82">
      <c r="A82" s="4" t="inlineStr">
        <is>
          <t>ES-MAD</t>
        </is>
      </c>
      <c r="B82" s="4" t="inlineStr">
        <is>
          <t>Madrid Office</t>
        </is>
      </c>
      <c r="C82" s="4" t="inlineStr">
        <is>
          <t>Plan de emergencia</t>
        </is>
      </c>
      <c r="D82" s="4" t="inlineStr">
        <is>
          <t>Emergency plan</t>
        </is>
      </c>
      <c r="E82" s="4" t="n">
        <v>6</v>
      </c>
      <c r="F82" s="4" t="n">
        <v>0</v>
      </c>
      <c r="G82" s="4" t="n">
        <v>0</v>
      </c>
      <c r="H82">
        <f>SUM(E82:G82)</f>
        <v/>
      </c>
    </row>
    <row r="83">
      <c r="A83" s="4" t="inlineStr">
        <is>
          <t>ES-MAD</t>
        </is>
      </c>
      <c r="B83" s="4" t="inlineStr">
        <is>
          <t>Madrid Office</t>
        </is>
      </c>
      <c r="C83" s="4" t="inlineStr">
        <is>
          <t>Gestión de pantallas/PVD</t>
        </is>
      </c>
      <c r="D83" s="4" t="inlineStr">
        <is>
          <t>Display screen equipment (PVD) management</t>
        </is>
      </c>
      <c r="E83" s="4" t="n">
        <v>0</v>
      </c>
      <c r="F83" s="4" t="n">
        <v>7</v>
      </c>
      <c r="G83" s="4" t="n">
        <v>0</v>
      </c>
      <c r="H83">
        <f>SUM(E83:G83)</f>
        <v/>
      </c>
    </row>
    <row r="84">
      <c r="A84" s="4" t="inlineStr">
        <is>
          <t>ES-ACO</t>
        </is>
      </c>
      <c r="B84" s="4" t="inlineStr">
        <is>
          <t>A Coruña – Repsol in-house warehouse</t>
        </is>
      </c>
      <c r="C84" s="4" t="inlineStr">
        <is>
          <t>Coordinación de Actividades Empresariales (CAE)</t>
        </is>
      </c>
      <c r="D84" s="4" t="inlineStr">
        <is>
          <t>Coordination of business activities (CAE)</t>
        </is>
      </c>
      <c r="E84" s="4" t="n">
        <v>4</v>
      </c>
      <c r="F84" s="4" t="n">
        <v>0</v>
      </c>
      <c r="G84" s="4" t="n">
        <v>0</v>
      </c>
      <c r="H84">
        <f>SUM(E84:G84)</f>
        <v/>
      </c>
    </row>
    <row r="85">
      <c r="A85" s="4" t="inlineStr">
        <is>
          <t>ES-ACO</t>
        </is>
      </c>
      <c r="B85" s="4" t="inlineStr">
        <is>
          <t>A Coruña – Repsol in-house warehouse</t>
        </is>
      </c>
      <c r="C85" s="4" t="inlineStr">
        <is>
          <t>Evaluación de riesgos y preparación previa al despliegue</t>
        </is>
      </c>
      <c r="D85" s="4" t="inlineStr">
        <is>
          <t>Risk assessment and pre-deployment preparation</t>
        </is>
      </c>
      <c r="E85" s="4" t="n">
        <v>1</v>
      </c>
      <c r="F85" s="4" t="n">
        <v>1</v>
      </c>
      <c r="G85" s="4" t="n">
        <v>0</v>
      </c>
      <c r="H85">
        <f>SUM(E85:G85)</f>
        <v/>
      </c>
    </row>
    <row r="86">
      <c r="A86" s="4" t="inlineStr">
        <is>
          <t>ES-ACO</t>
        </is>
      </c>
      <c r="B86" s="4" t="inlineStr">
        <is>
          <t>A Coruña – Repsol in-house warehouse</t>
        </is>
      </c>
      <c r="C86" s="4" t="inlineStr">
        <is>
          <t>Información, formación y vigilancia de la salud</t>
        </is>
      </c>
      <c r="D86" s="4" t="inlineStr">
        <is>
          <t>Information, training and health surveillance</t>
        </is>
      </c>
      <c r="E86" s="4" t="n">
        <v>3</v>
      </c>
      <c r="F86" s="4" t="n">
        <v>0</v>
      </c>
      <c r="G86" s="4" t="n">
        <v>0</v>
      </c>
      <c r="H86">
        <f>SUM(E86:G86)</f>
        <v/>
      </c>
    </row>
    <row r="87">
      <c r="A87" s="4" t="inlineStr">
        <is>
          <t>ES-ACO</t>
        </is>
      </c>
      <c r="B87" s="4" t="inlineStr">
        <is>
          <t>A Coruña – Repsol in-house warehouse</t>
        </is>
      </c>
      <c r="C87" s="4" t="inlineStr">
        <is>
          <t>Recurso preventivo y gestión de accidentes en centro ajeno</t>
        </is>
      </c>
      <c r="D87" s="4" t="inlineStr">
        <is>
          <t>Recurso preventivo (on-site prevention supervisor) and accident management at a third-party workplace</t>
        </is>
      </c>
      <c r="E87" s="4" t="n">
        <v>2</v>
      </c>
      <c r="F87" s="4" t="n">
        <v>0</v>
      </c>
      <c r="G87" s="4" t="n">
        <v>0</v>
      </c>
      <c r="H87">
        <f>SUM(E87:G87)</f>
        <v/>
      </c>
    </row>
    <row r="88">
      <c r="A88" s="4" t="inlineStr">
        <is>
          <t>PT-AVE</t>
        </is>
      </c>
      <c r="B88" s="4" t="inlineStr">
        <is>
          <t>Aveiro Office</t>
        </is>
      </c>
      <c r="C88" s="4" t="inlineStr">
        <is>
          <t>Avaliação de riscos</t>
        </is>
      </c>
      <c r="D88" s="4" t="inlineStr">
        <is>
          <t>Risk assessment</t>
        </is>
      </c>
      <c r="E88" s="4" t="n">
        <v>2</v>
      </c>
      <c r="F88" s="4" t="n">
        <v>1</v>
      </c>
      <c r="G88" s="4" t="n">
        <v>0</v>
      </c>
      <c r="H88">
        <f>SUM(E88:G88)</f>
        <v/>
      </c>
    </row>
    <row r="89">
      <c r="A89" s="4" t="inlineStr">
        <is>
          <t>PT-AVE</t>
        </is>
      </c>
      <c r="B89" s="4" t="inlineStr">
        <is>
          <t>Aveiro Office</t>
        </is>
      </c>
      <c r="C89" s="4" t="inlineStr">
        <is>
          <t>Ergonomia e condições de trabalho</t>
        </is>
      </c>
      <c r="D89" s="4" t="inlineStr">
        <is>
          <t>Ergonomics and working conditions</t>
        </is>
      </c>
      <c r="E89" s="4" t="n">
        <v>4</v>
      </c>
      <c r="F89" s="4" t="n">
        <v>0</v>
      </c>
      <c r="G89" s="4" t="n">
        <v>0</v>
      </c>
      <c r="H89">
        <f>SUM(E89:G89)</f>
        <v/>
      </c>
    </row>
    <row r="90">
      <c r="A90" s="4" t="inlineStr">
        <is>
          <t>PT-AVE</t>
        </is>
      </c>
      <c r="B90" s="4" t="inlineStr">
        <is>
          <t>Aveiro Office</t>
        </is>
      </c>
      <c r="C90" s="4" t="inlineStr">
        <is>
          <t>Plano de emergência e segurança contra incêndio</t>
        </is>
      </c>
      <c r="D90" s="4" t="inlineStr">
        <is>
          <t>Emergency plan and fire safety</t>
        </is>
      </c>
      <c r="E90" s="4" t="n">
        <v>2</v>
      </c>
      <c r="F90" s="4" t="n">
        <v>6</v>
      </c>
      <c r="G90" s="4" t="n">
        <v>0</v>
      </c>
      <c r="H90">
        <f>SUM(E90:G90)</f>
        <v/>
      </c>
    </row>
    <row r="91">
      <c r="A91" s="4" t="inlineStr">
        <is>
          <t>PT-AVE</t>
        </is>
      </c>
      <c r="B91" s="4" t="inlineStr">
        <is>
          <t>Aveiro Office</t>
        </is>
      </c>
      <c r="C91" s="4" t="inlineStr">
        <is>
          <t>Gestão de visitantes e prestadores externos</t>
        </is>
      </c>
      <c r="D91" s="4" t="inlineStr">
        <is>
          <t>Management of visitors and external service providers</t>
        </is>
      </c>
      <c r="E91" s="4" t="n">
        <v>0</v>
      </c>
      <c r="F91" s="4" t="n">
        <v>2</v>
      </c>
      <c r="G91" s="4" t="n">
        <v>0</v>
      </c>
      <c r="H91">
        <f>SUM(E91:G91)</f>
        <v/>
      </c>
    </row>
    <row r="92">
      <c r="A92" s="4" t="inlineStr">
        <is>
          <t>PT-AVE</t>
        </is>
      </c>
      <c r="B92" s="4" t="inlineStr">
        <is>
          <t>Aveiro Office</t>
        </is>
      </c>
      <c r="C92" s="4" t="inlineStr">
        <is>
          <t>Organização e gestão do OHS</t>
        </is>
      </c>
      <c r="D92" s="4" t="inlineStr">
        <is>
          <t>OHS organisation and management</t>
        </is>
      </c>
      <c r="E92" s="4" t="n">
        <v>5</v>
      </c>
      <c r="F92" s="4" t="n">
        <v>1</v>
      </c>
      <c r="G92" s="4" t="n">
        <v>2</v>
      </c>
      <c r="H92">
        <f>SUM(E92:G92)</f>
        <v/>
      </c>
    </row>
    <row r="93">
      <c r="A93" s="4" t="inlineStr">
        <is>
          <t>PT-AVE</t>
        </is>
      </c>
      <c r="B93" s="4" t="inlineStr">
        <is>
          <t>Aveiro Office</t>
        </is>
      </c>
      <c r="C93" s="4" t="inlineStr">
        <is>
          <t>Vigilância da saúde</t>
        </is>
      </c>
      <c r="D93" s="4" t="inlineStr">
        <is>
          <t>Health surveillance</t>
        </is>
      </c>
      <c r="E93" s="4" t="n">
        <v>1</v>
      </c>
      <c r="F93" s="4" t="n">
        <v>1</v>
      </c>
      <c r="G93" s="4" t="n">
        <v>0</v>
      </c>
      <c r="H93">
        <f>SUM(E93:G93)</f>
        <v/>
      </c>
    </row>
    <row r="94">
      <c r="A94" s="4" t="inlineStr">
        <is>
          <t>PT-AVE</t>
        </is>
      </c>
      <c r="B94" s="4" t="inlineStr">
        <is>
          <t>Aveiro Office</t>
        </is>
      </c>
      <c r="C94" s="4" t="inlineStr">
        <is>
          <t>Riscos específicos das instalações</t>
        </is>
      </c>
      <c r="D94" s="4" t="inlineStr">
        <is>
          <t>Site-specific risks</t>
        </is>
      </c>
      <c r="E94" s="4" t="n">
        <v>2</v>
      </c>
      <c r="F94" s="4" t="n">
        <v>2</v>
      </c>
      <c r="G94" s="4" t="n">
        <v>3</v>
      </c>
      <c r="H94">
        <f>SUM(E94:G94)</f>
        <v/>
      </c>
    </row>
    <row r="95">
      <c r="A95" s="4" t="inlineStr">
        <is>
          <t>PT-AVE</t>
        </is>
      </c>
      <c r="B95" s="4" t="inlineStr">
        <is>
          <t>Aveiro Office</t>
        </is>
      </c>
      <c r="C95" s="4" t="inlineStr">
        <is>
          <t>Risco psicossocial e teletrabalho</t>
        </is>
      </c>
      <c r="D95" s="4" t="inlineStr">
        <is>
          <t>Psychosocial risk and teleworking</t>
        </is>
      </c>
      <c r="E95" s="4" t="n">
        <v>1</v>
      </c>
      <c r="F95" s="4" t="n">
        <v>1</v>
      </c>
      <c r="G95" s="4" t="n">
        <v>1</v>
      </c>
      <c r="H95">
        <f>SUM(E95:G95)</f>
        <v/>
      </c>
    </row>
    <row r="96">
      <c r="A96" s="4" t="inlineStr">
        <is>
          <t>MX-MTY</t>
        </is>
      </c>
      <c r="B96" s="4" t="inlineStr">
        <is>
          <t>Monterrey Warehouse (owned)</t>
        </is>
      </c>
      <c r="C96" s="4" t="inlineStr">
        <is>
          <t>Licencias de apertura y actividad</t>
        </is>
      </c>
      <c r="D96" s="4" t="inlineStr">
        <is>
          <t>Opening and activity licences</t>
        </is>
      </c>
      <c r="E96" s="4" t="n">
        <v>3</v>
      </c>
      <c r="F96" s="4" t="n">
        <v>0</v>
      </c>
      <c r="G96" s="4" t="n">
        <v>0</v>
      </c>
      <c r="H96">
        <f>SUM(E96:G96)</f>
        <v/>
      </c>
    </row>
    <row r="97">
      <c r="A97" s="4" t="inlineStr">
        <is>
          <t>MX-MTY</t>
        </is>
      </c>
      <c r="B97" s="4" t="inlineStr">
        <is>
          <t>Monterrey Warehouse (owned)</t>
        </is>
      </c>
      <c r="C97" s="4" t="inlineStr">
        <is>
          <t>Planes y programas en SST
Sistema de gestión SST</t>
        </is>
      </c>
      <c r="D97" s="4" t="inlineStr">
        <is>
          <t>OHS plans and programmes
OHS management system</t>
        </is>
      </c>
      <c r="E97" s="4" t="n">
        <v>8</v>
      </c>
      <c r="F97" s="4" t="n">
        <v>1</v>
      </c>
      <c r="G97" s="4" t="n">
        <v>0</v>
      </c>
      <c r="H97">
        <f>SUM(E97:G97)</f>
        <v/>
      </c>
    </row>
    <row r="98">
      <c r="A98" s="4" t="inlineStr">
        <is>
          <t>MX-MTY</t>
        </is>
      </c>
      <c r="B98" s="4" t="inlineStr">
        <is>
          <t>Monterrey Warehouse (owned)</t>
        </is>
      </c>
      <c r="C98" s="4" t="inlineStr">
        <is>
          <t>Gestión de contratistas</t>
        </is>
      </c>
      <c r="D98" s="4" t="inlineStr">
        <is>
          <t>Contractor management</t>
        </is>
      </c>
      <c r="E98" s="4" t="n">
        <v>3</v>
      </c>
      <c r="F98" s="4" t="n">
        <v>1</v>
      </c>
      <c r="G98" s="4" t="n">
        <v>0</v>
      </c>
      <c r="H98">
        <f>SUM(E98:G98)</f>
        <v/>
      </c>
    </row>
    <row r="99">
      <c r="A99" s="4" t="inlineStr">
        <is>
          <t>MX-MTY</t>
        </is>
      </c>
      <c r="B99" s="4" t="inlineStr">
        <is>
          <t>Monterrey Warehouse (owned)</t>
        </is>
      </c>
      <c r="C99" s="4" t="inlineStr">
        <is>
          <t>Condiciones del lugar de trabajo</t>
        </is>
      </c>
      <c r="D99" s="4" t="inlineStr">
        <is>
          <t>Workplace conditions</t>
        </is>
      </c>
      <c r="E99" s="4" t="n">
        <v>5</v>
      </c>
      <c r="F99" s="4" t="n">
        <v>2</v>
      </c>
      <c r="G99" s="4" t="n">
        <v>0</v>
      </c>
      <c r="H99">
        <f>SUM(E99:G99)</f>
        <v/>
      </c>
    </row>
    <row r="100">
      <c r="A100" s="4" t="inlineStr">
        <is>
          <t>MX-MTY</t>
        </is>
      </c>
      <c r="B100" s="4" t="inlineStr">
        <is>
          <t>Monterrey Warehouse (owned)</t>
        </is>
      </c>
      <c r="C100" s="4" t="inlineStr">
        <is>
          <t>Maquinaria, equipos y LOTO</t>
        </is>
      </c>
      <c r="D100" s="4" t="inlineStr">
        <is>
          <t>Machinery, equipment and LOTO</t>
        </is>
      </c>
      <c r="E100" s="4" t="n">
        <v>4</v>
      </c>
      <c r="F100" s="4" t="n">
        <v>1</v>
      </c>
      <c r="G100" s="4" t="n">
        <v>0</v>
      </c>
      <c r="H100">
        <f>SUM(E100:G100)</f>
        <v/>
      </c>
    </row>
    <row r="101">
      <c r="A101" s="4" t="inlineStr">
        <is>
          <t>MX-MTY</t>
        </is>
      </c>
      <c r="B101" s="4" t="inlineStr">
        <is>
          <t>Monterrey Warehouse (owned)</t>
        </is>
      </c>
      <c r="C101" s="4" t="inlineStr">
        <is>
          <t>Atrapamiento</t>
        </is>
      </c>
      <c r="D101" s="4" t="inlineStr">
        <is>
          <t>Entrapment</t>
        </is>
      </c>
      <c r="E101" s="4" t="n">
        <v>3</v>
      </c>
      <c r="F101" s="4" t="n">
        <v>0</v>
      </c>
      <c r="G101" s="4" t="n">
        <v>1</v>
      </c>
      <c r="H101">
        <f>SUM(E101:G101)</f>
        <v/>
      </c>
    </row>
    <row r="102">
      <c r="A102" s="4" t="inlineStr">
        <is>
          <t>MX-MTY</t>
        </is>
      </c>
      <c r="B102" s="4" t="inlineStr">
        <is>
          <t>Monterrey Warehouse (owned)</t>
        </is>
      </c>
      <c r="C102" s="4" t="inlineStr">
        <is>
          <t>Vehículos industriales</t>
        </is>
      </c>
      <c r="D102" s="4" t="inlineStr">
        <is>
          <t>Industrial vehicles</t>
        </is>
      </c>
      <c r="E102" s="4" t="n">
        <v>3</v>
      </c>
      <c r="F102" s="4" t="n">
        <v>0</v>
      </c>
      <c r="G102" s="4" t="n">
        <v>0</v>
      </c>
      <c r="H102">
        <f>SUM(E102:G102)</f>
        <v/>
      </c>
    </row>
    <row r="103">
      <c r="A103" s="4" t="inlineStr">
        <is>
          <t>MX-MTY</t>
        </is>
      </c>
      <c r="B103" s="4" t="inlineStr">
        <is>
          <t>Monterrey Warehouse (owned)</t>
        </is>
      </c>
      <c r="C103" s="4" t="inlineStr">
        <is>
          <t>Carga en altura y estanterías</t>
        </is>
      </c>
      <c r="D103" s="4" t="inlineStr">
        <is>
          <t>High-level loading and racking</t>
        </is>
      </c>
      <c r="E103" s="4" t="n">
        <v>1</v>
      </c>
      <c r="F103" s="4" t="n">
        <v>0</v>
      </c>
      <c r="G103" s="4" t="n">
        <v>1</v>
      </c>
      <c r="H103">
        <f>SUM(E103:G103)</f>
        <v/>
      </c>
    </row>
    <row r="104">
      <c r="A104" s="4" t="inlineStr">
        <is>
          <t>MX-MTY</t>
        </is>
      </c>
      <c r="B104" s="4" t="inlineStr">
        <is>
          <t>Monterrey Warehouse (owned)</t>
        </is>
      </c>
      <c r="C104" s="4" t="inlineStr">
        <is>
          <t>Caída de cargas/objetos</t>
        </is>
      </c>
      <c r="D104" s="4" t="inlineStr">
        <is>
          <t>Falling loads/objects</t>
        </is>
      </c>
      <c r="E104" s="4" t="n">
        <v>4</v>
      </c>
      <c r="F104" s="4" t="n">
        <v>0</v>
      </c>
      <c r="G104" s="4" t="n">
        <v>0</v>
      </c>
      <c r="H104">
        <f>SUM(E104:G104)</f>
        <v/>
      </c>
    </row>
    <row r="105">
      <c r="A105" s="4" t="inlineStr">
        <is>
          <t>MX-MTY</t>
        </is>
      </c>
      <c r="B105" s="4" t="inlineStr">
        <is>
          <t>Monterrey Warehouse (owned)</t>
        </is>
      </c>
      <c r="C105" s="4" t="inlineStr">
        <is>
          <t>andenes de carga</t>
        </is>
      </c>
      <c r="D105" s="4" t="inlineStr">
        <is>
          <t>Loading docks</t>
        </is>
      </c>
      <c r="E105" s="4" t="n">
        <v>1</v>
      </c>
      <c r="F105" s="4" t="n">
        <v>0</v>
      </c>
      <c r="G105" s="4" t="n">
        <v>0</v>
      </c>
      <c r="H105">
        <f>SUM(E105:G105)</f>
        <v/>
      </c>
    </row>
    <row r="106">
      <c r="A106" s="4" t="inlineStr">
        <is>
          <t>MX-MTY</t>
        </is>
      </c>
      <c r="B106" s="4" t="inlineStr">
        <is>
          <t>Monterrey Warehouse (owned)</t>
        </is>
      </c>
      <c r="C106" s="4" t="inlineStr">
        <is>
          <t>Carga y descarga</t>
        </is>
      </c>
      <c r="D106" s="4" t="inlineStr">
        <is>
          <t>Loading and unloading</t>
        </is>
      </c>
      <c r="E106" s="4" t="n">
        <v>2</v>
      </c>
      <c r="F106" s="4" t="n">
        <v>0</v>
      </c>
      <c r="G106" s="4" t="n">
        <v>0</v>
      </c>
      <c r="H106">
        <f>SUM(E106:G106)</f>
        <v/>
      </c>
    </row>
    <row r="107">
      <c r="A107" s="4" t="inlineStr">
        <is>
          <t>MX-MTY</t>
        </is>
      </c>
      <c r="B107" s="4" t="inlineStr">
        <is>
          <t>Monterrey Warehouse (owned)</t>
        </is>
      </c>
      <c r="C107" s="4" t="inlineStr">
        <is>
          <t>Manipulación de cargas</t>
        </is>
      </c>
      <c r="D107" s="4" t="inlineStr">
        <is>
          <t>Load handling</t>
        </is>
      </c>
      <c r="E107" s="4" t="n">
        <v>1</v>
      </c>
      <c r="F107" s="4" t="n">
        <v>0</v>
      </c>
      <c r="G107" s="4" t="n">
        <v>0</v>
      </c>
      <c r="H107">
        <f>SUM(E107:G107)</f>
        <v/>
      </c>
    </row>
    <row r="108">
      <c r="A108" s="4" t="inlineStr">
        <is>
          <t>MX-MTY</t>
        </is>
      </c>
      <c r="B108" s="4" t="inlineStr">
        <is>
          <t>Monterrey Warehouse (owned)</t>
        </is>
      </c>
      <c r="C108" s="4" t="inlineStr">
        <is>
          <t>Trabajo en altura</t>
        </is>
      </c>
      <c r="D108" s="4" t="inlineStr">
        <is>
          <t>Work at height</t>
        </is>
      </c>
      <c r="E108" s="4" t="n">
        <v>0</v>
      </c>
      <c r="F108" s="4" t="n">
        <v>0</v>
      </c>
      <c r="G108" s="4" t="n">
        <v>1</v>
      </c>
      <c r="H108">
        <f>SUM(E108:G108)</f>
        <v/>
      </c>
    </row>
    <row r="109">
      <c r="A109" s="4" t="inlineStr">
        <is>
          <t>MX-MTY</t>
        </is>
      </c>
      <c r="B109" s="4" t="inlineStr">
        <is>
          <t>Monterrey Warehouse (owned)</t>
        </is>
      </c>
      <c r="C109" s="4" t="inlineStr">
        <is>
          <t>Instalaciones eléctricas — certificaciones y dictamen</t>
        </is>
      </c>
      <c r="D109" s="4" t="inlineStr">
        <is>
          <t>Electrical installations — certifications and verification report</t>
        </is>
      </c>
      <c r="E109" s="4" t="n">
        <v>3</v>
      </c>
      <c r="F109" s="4" t="n">
        <v>0</v>
      </c>
      <c r="G109" s="4" t="n">
        <v>0</v>
      </c>
      <c r="H109">
        <f>SUM(E109:G109)</f>
        <v/>
      </c>
    </row>
    <row r="110">
      <c r="A110" s="4" t="inlineStr">
        <is>
          <t>MX-MTY</t>
        </is>
      </c>
      <c r="B110" s="4" t="inlineStr">
        <is>
          <t>Monterrey Warehouse (owned)</t>
        </is>
      </c>
      <c r="C110" s="4" t="inlineStr">
        <is>
          <t>Seguridad eléctrica y baterías</t>
        </is>
      </c>
      <c r="D110" s="4" t="inlineStr">
        <is>
          <t>Electrical and battery safety</t>
        </is>
      </c>
      <c r="E110" s="4" t="n">
        <v>1</v>
      </c>
      <c r="F110" s="4" t="n">
        <v>0</v>
      </c>
      <c r="G110" s="4" t="n">
        <v>0</v>
      </c>
      <c r="H110">
        <f>SUM(E110:G110)</f>
        <v/>
      </c>
    </row>
    <row r="111">
      <c r="A111" s="4" t="inlineStr">
        <is>
          <t>MX-MTY</t>
        </is>
      </c>
      <c r="B111" s="4" t="inlineStr">
        <is>
          <t>Monterrey Warehouse (owned)</t>
        </is>
      </c>
      <c r="C111" s="4" t="inlineStr">
        <is>
          <t>Instalaciones técnicas — certificaciones e inspecciones periódicas</t>
        </is>
      </c>
      <c r="D111" s="4" t="inlineStr">
        <is>
          <t>Technical installations — certifications and periodic inspections</t>
        </is>
      </c>
      <c r="E111" s="4" t="n">
        <v>1</v>
      </c>
      <c r="F111" s="4" t="n">
        <v>0</v>
      </c>
      <c r="G111" s="4" t="n">
        <v>1</v>
      </c>
      <c r="H111">
        <f>SUM(E111:G111)</f>
        <v/>
      </c>
    </row>
    <row r="112">
      <c r="A112" s="4" t="inlineStr">
        <is>
          <t>MX-MTY</t>
        </is>
      </c>
      <c r="B112" s="4" t="inlineStr">
        <is>
          <t>Monterrey Warehouse (owned)</t>
        </is>
      </c>
      <c r="C112" s="4" t="inlineStr">
        <is>
          <t>Normativa de productos químicos (SGA/GHS)</t>
        </is>
      </c>
      <c r="D112" s="4" t="inlineStr">
        <is>
          <t>Chemical products regulations (SGA/GHS)</t>
        </is>
      </c>
      <c r="E112" s="4" t="n">
        <v>1</v>
      </c>
      <c r="F112" s="4" t="n">
        <v>1</v>
      </c>
      <c r="G112" s="4" t="n">
        <v>0</v>
      </c>
      <c r="H112">
        <f>SUM(E112:G112)</f>
        <v/>
      </c>
    </row>
    <row r="113">
      <c r="A113" s="4" t="inlineStr">
        <is>
          <t>MX-MTY</t>
        </is>
      </c>
      <c r="B113" s="4" t="inlineStr">
        <is>
          <t>Monterrey Warehouse (owned)</t>
        </is>
      </c>
      <c r="C113" s="4" t="inlineStr">
        <is>
          <t>Agentes químicos y residuos peligrosos</t>
        </is>
      </c>
      <c r="D113" s="4" t="inlineStr">
        <is>
          <t>Chemical agents and hazardous waste</t>
        </is>
      </c>
      <c r="E113" s="4" t="n">
        <v>4</v>
      </c>
      <c r="F113" s="4" t="n">
        <v>1</v>
      </c>
      <c r="G113" s="4" t="n">
        <v>0</v>
      </c>
      <c r="H113">
        <f>SUM(E113:G113)</f>
        <v/>
      </c>
    </row>
    <row r="114">
      <c r="A114" s="4" t="inlineStr">
        <is>
          <t>MX-MTY</t>
        </is>
      </c>
      <c r="B114" s="4" t="inlineStr">
        <is>
          <t>Monterrey Warehouse (owned)</t>
        </is>
      </c>
      <c r="C114" s="4" t="inlineStr">
        <is>
          <t>Riesgo de ruido</t>
        </is>
      </c>
      <c r="D114" s="4" t="inlineStr">
        <is>
          <t>Noise risk</t>
        </is>
      </c>
      <c r="E114" s="4" t="n">
        <v>1</v>
      </c>
      <c r="F114" s="4" t="n">
        <v>0</v>
      </c>
      <c r="G114" s="4" t="n">
        <v>0</v>
      </c>
      <c r="H114">
        <f>SUM(E114:G114)</f>
        <v/>
      </c>
    </row>
    <row r="115">
      <c r="A115" s="4" t="inlineStr">
        <is>
          <t>MX-MTY</t>
        </is>
      </c>
      <c r="B115" s="4" t="inlineStr">
        <is>
          <t>Monterrey Warehouse (owned)</t>
        </is>
      </c>
      <c r="C115" s="4" t="inlineStr">
        <is>
          <t>Prevención y protección contra incendios</t>
        </is>
      </c>
      <c r="D115" s="4" t="inlineStr">
        <is>
          <t>Fire prevention and protection</t>
        </is>
      </c>
      <c r="E115" s="4" t="n">
        <v>1</v>
      </c>
      <c r="F115" s="4" t="n">
        <v>4</v>
      </c>
      <c r="G115" s="4" t="n">
        <v>0</v>
      </c>
      <c r="H115">
        <f>SUM(E115:G115)</f>
        <v/>
      </c>
    </row>
    <row r="116">
      <c r="A116" s="4" t="inlineStr">
        <is>
          <t>MX-MTY</t>
        </is>
      </c>
      <c r="B116" s="4" t="inlineStr">
        <is>
          <t>Monterrey Warehouse (owned)</t>
        </is>
      </c>
      <c r="C116" s="4" t="inlineStr">
        <is>
          <t>Plan de emergencia y protección civil</t>
        </is>
      </c>
      <c r="D116" s="4" t="inlineStr">
        <is>
          <t>Emergency and civil protection plan</t>
        </is>
      </c>
      <c r="E116" s="4" t="n">
        <v>3</v>
      </c>
      <c r="F116" s="4" t="n">
        <v>2</v>
      </c>
      <c r="G116" s="4" t="n">
        <v>2</v>
      </c>
      <c r="H116">
        <f>SUM(E116:G116)</f>
        <v/>
      </c>
    </row>
    <row r="117">
      <c r="A117" s="4" t="inlineStr">
        <is>
          <t>MX-CDMX</t>
        </is>
      </c>
      <c r="B117" s="4" t="inlineStr">
        <is>
          <t>CDMX Office</t>
        </is>
      </c>
      <c r="C117" s="4" t="inlineStr">
        <is>
          <t>Licencias de apertura y actividad</t>
        </is>
      </c>
      <c r="D117" s="4" t="inlineStr">
        <is>
          <t>Opening and activity licences</t>
        </is>
      </c>
      <c r="E117" s="4" t="n">
        <v>3</v>
      </c>
      <c r="F117" s="4" t="n">
        <v>0</v>
      </c>
      <c r="G117" s="4" t="n">
        <v>0</v>
      </c>
      <c r="H117">
        <f>SUM(E117:G117)</f>
        <v/>
      </c>
    </row>
    <row r="118">
      <c r="A118" s="4" t="inlineStr">
        <is>
          <t>MX-CDMX</t>
        </is>
      </c>
      <c r="B118" s="4" t="inlineStr">
        <is>
          <t>CDMX Office</t>
        </is>
      </c>
      <c r="C118" s="4" t="inlineStr">
        <is>
          <t>Instalaciones eléctricas — certificaciones y boletines</t>
        </is>
      </c>
      <c r="D118" s="4" t="inlineStr">
        <is>
          <t>Electrical installations — certifications and certificates</t>
        </is>
      </c>
      <c r="E118" s="4" t="n">
        <v>2</v>
      </c>
      <c r="F118" s="4" t="n">
        <v>1</v>
      </c>
      <c r="G118" s="4" t="n">
        <v>0</v>
      </c>
      <c r="H118">
        <f>SUM(E118:G118)</f>
        <v/>
      </c>
    </row>
    <row r="119">
      <c r="A119" s="4" t="inlineStr">
        <is>
          <t>MX-CDMX</t>
        </is>
      </c>
      <c r="B119" s="4" t="inlineStr">
        <is>
          <t>CDMX Office</t>
        </is>
      </c>
      <c r="C119" s="4" t="inlineStr">
        <is>
          <t>Instalaciones técnicas — certificaciones e inspecciones periódicas</t>
        </is>
      </c>
      <c r="D119" s="4" t="inlineStr">
        <is>
          <t>Technical installations — certifications and periodic inspections</t>
        </is>
      </c>
      <c r="E119" s="4" t="n">
        <v>2</v>
      </c>
      <c r="F119" s="4" t="n">
        <v>0</v>
      </c>
      <c r="G119" s="4" t="n">
        <v>0</v>
      </c>
      <c r="H119">
        <f>SUM(E119:G119)</f>
        <v/>
      </c>
    </row>
    <row r="120">
      <c r="A120" s="4" t="inlineStr">
        <is>
          <t>MX-CDMX</t>
        </is>
      </c>
      <c r="B120" s="4" t="inlineStr">
        <is>
          <t>CDMX Office</t>
        </is>
      </c>
      <c r="C120" s="4" t="inlineStr">
        <is>
          <t>Sistema de gestión SST y organización</t>
        </is>
      </c>
      <c r="D120" s="4" t="inlineStr">
        <is>
          <t>SST (OHS) management system and organisation</t>
        </is>
      </c>
      <c r="E120" s="4" t="n">
        <v>5</v>
      </c>
      <c r="F120" s="4" t="n">
        <v>2</v>
      </c>
      <c r="G120" s="4" t="n">
        <v>1</v>
      </c>
      <c r="H120">
        <f>SUM(E120:G120)</f>
        <v/>
      </c>
    </row>
    <row r="121">
      <c r="A121" s="4" t="inlineStr">
        <is>
          <t>MX-CDMX</t>
        </is>
      </c>
      <c r="B121" s="4" t="inlineStr">
        <is>
          <t>CDMX Office</t>
        </is>
      </c>
      <c r="C121" s="4" t="inlineStr">
        <is>
          <t>Notificación de accidentes e IMSS</t>
        </is>
      </c>
      <c r="D121" s="4" t="inlineStr">
        <is>
          <t>Accident notification and IMSS</t>
        </is>
      </c>
      <c r="E121" s="4" t="n">
        <v>2</v>
      </c>
      <c r="F121" s="4" t="n">
        <v>0</v>
      </c>
      <c r="G121" s="4" t="n">
        <v>0</v>
      </c>
      <c r="H121">
        <f>SUM(E121:G121)</f>
        <v/>
      </c>
    </row>
    <row r="122">
      <c r="A122" s="4" t="inlineStr">
        <is>
          <t>MX-CDMX</t>
        </is>
      </c>
      <c r="B122" s="4" t="inlineStr">
        <is>
          <t>CDMX Office</t>
        </is>
      </c>
      <c r="C122" s="4" t="inlineStr">
        <is>
          <t>Contratistas y visitantes</t>
        </is>
      </c>
      <c r="D122" s="4" t="inlineStr">
        <is>
          <t>Contractors and visitors</t>
        </is>
      </c>
      <c r="E122" s="4" t="n">
        <v>0</v>
      </c>
      <c r="F122" s="4" t="n">
        <v>1</v>
      </c>
      <c r="G122" s="4" t="n">
        <v>0</v>
      </c>
      <c r="H122">
        <f>SUM(E122:G122)</f>
        <v/>
      </c>
    </row>
    <row r="123">
      <c r="A123" s="4" t="inlineStr">
        <is>
          <t>MX-CDMX</t>
        </is>
      </c>
      <c r="B123" s="4" t="inlineStr">
        <is>
          <t>CDMX Office</t>
        </is>
      </c>
      <c r="C123" s="4" t="inlineStr">
        <is>
          <t>Factores de riesgo psicosocial (NOM-035)</t>
        </is>
      </c>
      <c r="D123" s="4" t="inlineStr">
        <is>
          <t>Psychosocial risk factors (NOM-035)</t>
        </is>
      </c>
      <c r="E123" s="4" t="n">
        <v>1</v>
      </c>
      <c r="F123" s="4" t="n">
        <v>0</v>
      </c>
      <c r="G123" s="4" t="n">
        <v>0</v>
      </c>
      <c r="H123">
        <f>SUM(E123:G123)</f>
        <v/>
      </c>
    </row>
    <row r="124">
      <c r="A124" s="4" t="inlineStr">
        <is>
          <t>MX-CDMX</t>
        </is>
      </c>
      <c r="B124" s="4" t="inlineStr">
        <is>
          <t>CDMX Office</t>
        </is>
      </c>
      <c r="C124" s="4" t="inlineStr">
        <is>
          <t>Ergonomía, PVD y teletrabajo (NOM-036/037)</t>
        </is>
      </c>
      <c r="D124" s="4" t="inlineStr">
        <is>
          <t>Ergonomics, display screen equipment and teleworking (NOM-036/037)</t>
        </is>
      </c>
      <c r="E124" s="4" t="n">
        <v>3</v>
      </c>
      <c r="F124" s="4" t="n">
        <v>0</v>
      </c>
      <c r="G124" s="4" t="n">
        <v>0</v>
      </c>
      <c r="H124">
        <f>SUM(E124:G124)</f>
        <v/>
      </c>
    </row>
    <row r="125">
      <c r="A125" s="4" t="inlineStr">
        <is>
          <t>MX-CDMX</t>
        </is>
      </c>
      <c r="B125" s="4" t="inlineStr">
        <is>
          <t>CDMX Office</t>
        </is>
      </c>
      <c r="C125" s="4" t="inlineStr">
        <is>
          <t>Condiciones físicas del lugar de trabajo</t>
        </is>
      </c>
      <c r="D125" s="4" t="inlineStr">
        <is>
          <t>Physical conditions of the workplace</t>
        </is>
      </c>
      <c r="E125" s="4" t="n">
        <v>7</v>
      </c>
      <c r="F125" s="4" t="n">
        <v>0</v>
      </c>
      <c r="G125" s="4" t="n">
        <v>0</v>
      </c>
      <c r="H125">
        <f>SUM(E125:G125)</f>
        <v/>
      </c>
    </row>
    <row r="126">
      <c r="A126" s="4" t="inlineStr">
        <is>
          <t>MX-CDMX</t>
        </is>
      </c>
      <c r="B126" s="4" t="inlineStr">
        <is>
          <t>CDMX Office</t>
        </is>
      </c>
      <c r="C126" s="4" t="inlineStr">
        <is>
          <t>Normativa de productos químicos (SGA/GHS)</t>
        </is>
      </c>
      <c r="D126" s="4" t="inlineStr">
        <is>
          <t>Chemical products regulations (SGA/GHS)</t>
        </is>
      </c>
      <c r="E126" s="4" t="n">
        <v>2</v>
      </c>
      <c r="F126" s="4" t="n">
        <v>0</v>
      </c>
      <c r="G126" s="4" t="n">
        <v>0</v>
      </c>
      <c r="H126">
        <f>SUM(E126:G126)</f>
        <v/>
      </c>
    </row>
    <row r="127">
      <c r="A127" s="4" t="inlineStr">
        <is>
          <t>MX-CDMX</t>
        </is>
      </c>
      <c r="B127" s="4" t="inlineStr">
        <is>
          <t>CDMX Office</t>
        </is>
      </c>
      <c r="C127" s="4" t="inlineStr">
        <is>
          <t>Seguridad eléctrica</t>
        </is>
      </c>
      <c r="D127" s="4" t="inlineStr">
        <is>
          <t>Electrical safety</t>
        </is>
      </c>
      <c r="E127" s="4" t="n">
        <v>1</v>
      </c>
      <c r="F127" s="4" t="n">
        <v>1</v>
      </c>
      <c r="G127" s="4" t="n">
        <v>0</v>
      </c>
      <c r="H127">
        <f>SUM(E127:G127)</f>
        <v/>
      </c>
    </row>
    <row r="128">
      <c r="A128" s="4" t="inlineStr">
        <is>
          <t>MX-CDMX</t>
        </is>
      </c>
      <c r="B128" s="4" t="inlineStr">
        <is>
          <t>CDMX Office</t>
        </is>
      </c>
      <c r="C128" s="4" t="inlineStr">
        <is>
          <t>Prevención y protección contra incendios</t>
        </is>
      </c>
      <c r="D128" s="4" t="inlineStr">
        <is>
          <t>Fire prevention and protection</t>
        </is>
      </c>
      <c r="E128" s="4" t="n">
        <v>4</v>
      </c>
      <c r="F128" s="4" t="n">
        <v>0</v>
      </c>
      <c r="G128" s="4" t="n">
        <v>1</v>
      </c>
      <c r="H128">
        <f>SUM(E128:G128)</f>
        <v/>
      </c>
    </row>
    <row r="129">
      <c r="A129" s="4" t="inlineStr">
        <is>
          <t>MX-CDMX</t>
        </is>
      </c>
      <c r="B129" s="4" t="inlineStr">
        <is>
          <t>CDMX Office</t>
        </is>
      </c>
      <c r="C129" s="4" t="inlineStr">
        <is>
          <t>Plan de emergencia y protección civil</t>
        </is>
      </c>
      <c r="D129" s="4" t="inlineStr">
        <is>
          <t>Emergency and civil protection plan</t>
        </is>
      </c>
      <c r="E129" s="4" t="n">
        <v>3</v>
      </c>
      <c r="F129" s="4" t="n">
        <v>1</v>
      </c>
      <c r="G129" s="4" t="n">
        <v>2</v>
      </c>
      <c r="H129">
        <f>SUM(E129:G129)</f>
        <v/>
      </c>
    </row>
    <row r="130">
      <c r="A130" s="4" t="inlineStr">
        <is>
          <t>MX-INO</t>
        </is>
      </c>
      <c r="B130" s="4" t="inlineStr">
        <is>
          <t>EPC INOAC</t>
        </is>
      </c>
      <c r="C130" s="4" t="inlineStr">
        <is>
          <t>Planificación y organización del sistema SST</t>
        </is>
      </c>
      <c r="D130" s="4" t="inlineStr">
        <is>
          <t>Planning and organisation of the SST (OHS) system</t>
        </is>
      </c>
      <c r="E130" s="4" t="n">
        <v>5</v>
      </c>
      <c r="F130" s="4" t="n">
        <v>0</v>
      </c>
      <c r="G130" s="4" t="n">
        <v>3</v>
      </c>
      <c r="H130">
        <f>SUM(E130:G130)</f>
        <v/>
      </c>
    </row>
    <row r="131">
      <c r="A131" s="4" t="inlineStr">
        <is>
          <t>MX-INO</t>
        </is>
      </c>
      <c r="B131" s="4" t="inlineStr">
        <is>
          <t>EPC INOAC</t>
        </is>
      </c>
      <c r="C131" s="4" t="inlineStr">
        <is>
          <t>Gestión de subcontratistas y acceso al sitio</t>
        </is>
      </c>
      <c r="D131" s="4" t="inlineStr">
        <is>
          <t>Subcontractor management and site access</t>
        </is>
      </c>
      <c r="E131" s="4" t="n">
        <v>1</v>
      </c>
      <c r="F131" s="4" t="n">
        <v>0</v>
      </c>
      <c r="G131" s="4" t="n">
        <v>2</v>
      </c>
      <c r="H131">
        <f>SUM(E131:G131)</f>
        <v/>
      </c>
    </row>
    <row r="132">
      <c r="A132" s="4" t="inlineStr">
        <is>
          <t>MX-INO</t>
        </is>
      </c>
      <c r="B132" s="4" t="inlineStr">
        <is>
          <t>EPC INOAC</t>
        </is>
      </c>
      <c r="C132" s="4" t="inlineStr">
        <is>
          <t>Capacitación, IMSS y notificación de accidentes</t>
        </is>
      </c>
      <c r="D132" s="4" t="inlineStr">
        <is>
          <t>Training, IMSS and accident notification</t>
        </is>
      </c>
      <c r="E132" s="4" t="n">
        <v>3</v>
      </c>
      <c r="F132" s="4" t="n">
        <v>0</v>
      </c>
      <c r="G132" s="4" t="n">
        <v>1</v>
      </c>
      <c r="H132">
        <f>SUM(E132:G132)</f>
        <v/>
      </c>
    </row>
    <row r="133">
      <c r="A133" s="4" t="inlineStr">
        <is>
          <t>MX-INO</t>
        </is>
      </c>
      <c r="B133" s="4" t="inlineStr">
        <is>
          <t>EPC INOAC</t>
        </is>
      </c>
      <c r="C133" s="4" t="inlineStr">
        <is>
          <t>Sistema de permisos de trabajo</t>
        </is>
      </c>
      <c r="D133" s="4" t="inlineStr">
        <is>
          <t>Work permit system</t>
        </is>
      </c>
      <c r="E133" s="4" t="n">
        <v>1</v>
      </c>
      <c r="F133" s="4" t="n">
        <v>0</v>
      </c>
      <c r="G133" s="4" t="n">
        <v>0</v>
      </c>
      <c r="H133">
        <f>SUM(E133:G133)</f>
        <v/>
      </c>
    </row>
    <row r="134">
      <c r="A134" s="4" t="inlineStr">
        <is>
          <t>MX-INO</t>
        </is>
      </c>
      <c r="B134" s="4" t="inlineStr">
        <is>
          <t>EPC INOAC</t>
        </is>
      </c>
      <c r="C134" s="4" t="inlineStr">
        <is>
          <t>Trabajos en altura</t>
        </is>
      </c>
      <c r="D134" s="4" t="inlineStr">
        <is>
          <t>Work at height</t>
        </is>
      </c>
      <c r="E134" s="4" t="n">
        <v>3</v>
      </c>
      <c r="F134" s="4" t="n">
        <v>0</v>
      </c>
      <c r="G134" s="4" t="n">
        <v>0</v>
      </c>
      <c r="H134">
        <f>SUM(E134:G134)</f>
        <v/>
      </c>
    </row>
    <row r="135">
      <c r="A135" s="4" t="inlineStr">
        <is>
          <t>MX-INO</t>
        </is>
      </c>
      <c r="B135" s="4" t="inlineStr">
        <is>
          <t>EPC INOAC</t>
        </is>
      </c>
      <c r="C135" s="4" t="inlineStr">
        <is>
          <t>Trabajos de riesgo especial en obra</t>
        </is>
      </c>
      <c r="D135" s="4" t="inlineStr">
        <is>
          <t>Special-risk work on site</t>
        </is>
      </c>
      <c r="E135" s="4" t="n">
        <v>3</v>
      </c>
      <c r="F135" s="4" t="n">
        <v>0</v>
      </c>
      <c r="G135" s="4" t="n">
        <v>0</v>
      </c>
      <c r="H135">
        <f>SUM(E135:G135)</f>
        <v/>
      </c>
    </row>
    <row r="136">
      <c r="A136" s="4" t="inlineStr">
        <is>
          <t>MX-INO</t>
        </is>
      </c>
      <c r="B136" s="4" t="inlineStr">
        <is>
          <t>EPC INOAC</t>
        </is>
      </c>
      <c r="C136" s="4" t="inlineStr">
        <is>
          <t>Seguridad eléctrica y sistemas fotovoltaicos</t>
        </is>
      </c>
      <c r="D136" s="4" t="inlineStr">
        <is>
          <t>Electrical safety and photovoltaic systems</t>
        </is>
      </c>
      <c r="E136" s="4" t="n">
        <v>3</v>
      </c>
      <c r="F136" s="4" t="n">
        <v>0</v>
      </c>
      <c r="G136" s="4" t="n">
        <v>0</v>
      </c>
      <c r="H136">
        <f>SUM(E136:G136)</f>
        <v/>
      </c>
    </row>
    <row r="137">
      <c r="A137" s="4" t="inlineStr">
        <is>
          <t>MX-INO</t>
        </is>
      </c>
      <c r="B137" s="4" t="inlineStr">
        <is>
          <t>EPC INOAC</t>
        </is>
      </c>
      <c r="C137" s="4" t="inlineStr">
        <is>
          <t>Plan de emergencias, EPP y bienestar en obra</t>
        </is>
      </c>
      <c r="D137" s="4" t="inlineStr">
        <is>
          <t>Emergency plan, PPE and welfare on site</t>
        </is>
      </c>
      <c r="E137" s="4" t="n">
        <v>5</v>
      </c>
      <c r="F137" s="4" t="n">
        <v>3</v>
      </c>
      <c r="G137" s="4" t="n">
        <v>0</v>
      </c>
      <c r="H137">
        <f>SUM(E137:G137)</f>
        <v/>
      </c>
    </row>
    <row r="138">
      <c r="A138" s="4" t="inlineStr">
        <is>
          <t>MX-INO</t>
        </is>
      </c>
      <c r="B138" s="4" t="inlineStr">
        <is>
          <t>EPC INOAC</t>
        </is>
      </c>
      <c r="C138" s="4" t="inlineStr">
        <is>
          <t>Gestión ambiental del proyecto</t>
        </is>
      </c>
      <c r="D138" s="4" t="inlineStr">
        <is>
          <t>Project environmental management</t>
        </is>
      </c>
      <c r="E138" s="4" t="n">
        <v>3</v>
      </c>
      <c r="F138" s="4" t="n">
        <v>0</v>
      </c>
      <c r="G138" s="4" t="n">
        <v>0</v>
      </c>
      <c r="H138">
        <f>SUM(E138:G138)</f>
        <v/>
      </c>
    </row>
    <row r="139">
      <c r="A139" s="4" t="inlineStr">
        <is>
          <t>MX-IBE</t>
        </is>
      </c>
      <c r="B139" s="4" t="inlineStr">
        <is>
          <t>Iberdrola in-house warehouse</t>
        </is>
      </c>
      <c r="C139" s="4" t="inlineStr">
        <is>
          <t>Coordinación con el cliente (obligaciones SST)</t>
        </is>
      </c>
      <c r="D139" s="4" t="inlineStr">
        <is>
          <t>Coordination with the client (OHS obligations)</t>
        </is>
      </c>
      <c r="E139" s="4" t="n">
        <v>0</v>
      </c>
      <c r="F139" s="4" t="n">
        <v>1</v>
      </c>
      <c r="G139" s="4" t="n">
        <v>3</v>
      </c>
      <c r="H139">
        <f>SUM(E139:G139)</f>
        <v/>
      </c>
    </row>
    <row r="140">
      <c r="A140" s="4" t="inlineStr">
        <is>
          <t>MX-IBE</t>
        </is>
      </c>
      <c r="B140" s="4" t="inlineStr">
        <is>
          <t>Iberdrola in-house warehouse</t>
        </is>
      </c>
      <c r="C140" s="4" t="inlineStr">
        <is>
          <t>Evaluación de riesgos y preparación previa al despliegue</t>
        </is>
      </c>
      <c r="D140" s="4" t="inlineStr">
        <is>
          <t>Risk assessment and pre-deployment preparation</t>
        </is>
      </c>
      <c r="E140" s="4" t="n">
        <v>1</v>
      </c>
      <c r="F140" s="4" t="n">
        <v>2</v>
      </c>
      <c r="G140" s="4" t="n">
        <v>4</v>
      </c>
      <c r="H140">
        <f>SUM(E140:G140)</f>
        <v/>
      </c>
    </row>
    <row r="141">
      <c r="A141" s="4" t="inlineStr">
        <is>
          <t>MX-IBE</t>
        </is>
      </c>
      <c r="B141" s="4" t="inlineStr">
        <is>
          <t>Iberdrola in-house warehouse</t>
        </is>
      </c>
      <c r="C141" s="4" t="inlineStr">
        <is>
          <t>Información, formación y vigilancia de la salud</t>
        </is>
      </c>
      <c r="D141" s="4" t="inlineStr">
        <is>
          <t>Information, training and health surveillance</t>
        </is>
      </c>
      <c r="E141" s="4" t="n">
        <v>0</v>
      </c>
      <c r="F141" s="4" t="n">
        <v>0</v>
      </c>
      <c r="G141" s="4" t="n">
        <v>3</v>
      </c>
      <c r="H141">
        <f>SUM(E141:G141)</f>
        <v/>
      </c>
    </row>
    <row r="142">
      <c r="A142" s="4" t="inlineStr">
        <is>
          <t>MX-IBE</t>
        </is>
      </c>
      <c r="B142" s="4" t="inlineStr">
        <is>
          <t>Iberdrola in-house warehouse</t>
        </is>
      </c>
      <c r="C142" s="4" t="inlineStr">
        <is>
          <t>Notificación de accidentes y recurso preventivo en centro ajeno</t>
        </is>
      </c>
      <c r="D142" s="4" t="inlineStr">
        <is>
          <t>Accident notification and recurso preventivo (on-site prevention supervisor) at a third-party site</t>
        </is>
      </c>
      <c r="E142" s="4" t="n">
        <v>3</v>
      </c>
      <c r="F142" s="4" t="n">
        <v>0</v>
      </c>
      <c r="G142" s="4" t="n">
        <v>0</v>
      </c>
      <c r="H142">
        <f>SUM(E142:G142)</f>
        <v/>
      </c>
    </row>
    <row r="143">
      <c r="A143" s="4" t="inlineStr">
        <is>
          <t>MX-IBE</t>
        </is>
      </c>
      <c r="B143" s="4" t="inlineStr">
        <is>
          <t>Iberdrola in-house warehouse</t>
        </is>
      </c>
      <c r="C143" s="4" t="inlineStr">
        <is>
          <t>Planes y programas en SST
Sistema de gestión SST</t>
        </is>
      </c>
      <c r="D143" s="4" t="inlineStr">
        <is>
          <t>OHS plans and programmes
OHS management system</t>
        </is>
      </c>
      <c r="E143" s="4" t="n">
        <v>0</v>
      </c>
      <c r="F143" s="4" t="n">
        <v>3</v>
      </c>
      <c r="G143" s="4" t="n">
        <v>0</v>
      </c>
      <c r="H143">
        <f>SUM(E143:G143)</f>
        <v/>
      </c>
    </row>
    <row r="144">
      <c r="A144" s="4" t="inlineStr">
        <is>
          <t>MX-IBE</t>
        </is>
      </c>
      <c r="B144" s="4" t="inlineStr">
        <is>
          <t>Iberdrola in-house warehouse</t>
        </is>
      </c>
      <c r="C144" s="4" t="inlineStr">
        <is>
          <t>Carga en altura y estanterías</t>
        </is>
      </c>
      <c r="D144" s="4" t="inlineStr">
        <is>
          <t>High-level loading and racking</t>
        </is>
      </c>
      <c r="E144" s="4" t="n">
        <v>0</v>
      </c>
      <c r="F144" s="4" t="n">
        <v>1</v>
      </c>
      <c r="G144" s="4" t="n">
        <v>1</v>
      </c>
      <c r="H144">
        <f>SUM(E144:G144)</f>
        <v/>
      </c>
    </row>
    <row r="145">
      <c r="A145" s="4" t="inlineStr">
        <is>
          <t>MX-IBE</t>
        </is>
      </c>
      <c r="B145" s="4" t="inlineStr">
        <is>
          <t>Iberdrola in-house warehouse</t>
        </is>
      </c>
      <c r="C145" s="4" t="inlineStr">
        <is>
          <t>Vehículos industriales</t>
        </is>
      </c>
      <c r="D145" s="4" t="inlineStr">
        <is>
          <t>Industrial vehicles</t>
        </is>
      </c>
      <c r="E145" s="4" t="n">
        <v>0</v>
      </c>
      <c r="F145" s="4" t="n">
        <v>1</v>
      </c>
      <c r="G145" s="4" t="n">
        <v>0</v>
      </c>
      <c r="H145">
        <f>SUM(E145:G145)</f>
        <v/>
      </c>
    </row>
    <row r="146">
      <c r="A146" s="4" t="inlineStr">
        <is>
          <t>MX-IBE</t>
        </is>
      </c>
      <c r="B146" s="4" t="inlineStr">
        <is>
          <t>Iberdrola in-house warehouse</t>
        </is>
      </c>
      <c r="C146" s="4" t="inlineStr">
        <is>
          <t>Manipulación de cargas</t>
        </is>
      </c>
      <c r="D146" s="4" t="inlineStr">
        <is>
          <t>Load handling</t>
        </is>
      </c>
      <c r="E146" s="4" t="n">
        <v>0</v>
      </c>
      <c r="F146" s="4" t="n">
        <v>1</v>
      </c>
      <c r="G146" s="4" t="n">
        <v>1</v>
      </c>
      <c r="H146">
        <f>SUM(E146:G146)</f>
        <v/>
      </c>
    </row>
    <row r="147">
      <c r="A147" s="4" t="inlineStr">
        <is>
          <t>MX-IBE</t>
        </is>
      </c>
      <c r="B147" s="4" t="inlineStr">
        <is>
          <t>Iberdrola in-house warehouse</t>
        </is>
      </c>
      <c r="C147" s="4" t="inlineStr">
        <is>
          <t>Agentes químicos y residuos peligrosos</t>
        </is>
      </c>
      <c r="D147" s="4" t="inlineStr">
        <is>
          <t>Chemical agents and hazardous waste</t>
        </is>
      </c>
      <c r="E147" s="4" t="n">
        <v>0</v>
      </c>
      <c r="F147" s="4" t="n">
        <v>1</v>
      </c>
      <c r="G147" s="4" t="n">
        <v>0</v>
      </c>
      <c r="H147">
        <f>SUM(E147:G147)</f>
        <v/>
      </c>
    </row>
    <row r="148">
      <c r="A148" s="4" t="inlineStr">
        <is>
          <t>MX-IBE</t>
        </is>
      </c>
      <c r="B148" s="4" t="inlineStr">
        <is>
          <t>Iberdrola in-house warehouse</t>
        </is>
      </c>
      <c r="C148" s="4" t="inlineStr">
        <is>
          <t>Prevención y protección contra incendios</t>
        </is>
      </c>
      <c r="D148" s="4" t="inlineStr">
        <is>
          <t>Fire prevention and protection</t>
        </is>
      </c>
      <c r="E148" s="4" t="n">
        <v>0</v>
      </c>
      <c r="F148" s="4" t="n">
        <v>1</v>
      </c>
      <c r="G148" s="4" t="n">
        <v>2</v>
      </c>
      <c r="H148">
        <f>SUM(E148:G148)</f>
        <v/>
      </c>
    </row>
    <row r="149">
      <c r="A149" s="4" t="inlineStr">
        <is>
          <t>MX-IBE</t>
        </is>
      </c>
      <c r="B149" s="4" t="inlineStr">
        <is>
          <t>Iberdrola in-house warehouse</t>
        </is>
      </c>
      <c r="C149" s="4" t="inlineStr">
        <is>
          <t>Plan de emergencia y protección civil</t>
        </is>
      </c>
      <c r="D149" s="4" t="inlineStr">
        <is>
          <t>Emergency and civil protection plan</t>
        </is>
      </c>
      <c r="E149" s="4" t="n">
        <v>0</v>
      </c>
      <c r="F149" s="4" t="n">
        <v>1</v>
      </c>
      <c r="G149" s="4" t="n">
        <v>0</v>
      </c>
      <c r="H149">
        <f>SUM(E149:G149)</f>
        <v/>
      </c>
    </row>
    <row r="150">
      <c r="A150" s="4" t="inlineStr">
        <is>
          <t>MX-BRA</t>
        </is>
      </c>
      <c r="B150" s="4" t="inlineStr">
        <is>
          <t>Braskem in-house warehouse</t>
        </is>
      </c>
      <c r="C150" s="4" t="inlineStr">
        <is>
          <t>Coordinación con el cliente (obligaciones SST)</t>
        </is>
      </c>
      <c r="D150" s="4" t="inlineStr">
        <is>
          <t>Coordination with the client (OHS obligations)</t>
        </is>
      </c>
      <c r="E150" s="4" t="n">
        <v>4</v>
      </c>
      <c r="F150" s="4" t="n">
        <v>0</v>
      </c>
      <c r="G150" s="4" t="n">
        <v>0</v>
      </c>
      <c r="H150">
        <f>SUM(E150:G150)</f>
        <v/>
      </c>
    </row>
    <row r="151">
      <c r="A151" s="4" t="inlineStr">
        <is>
          <t>MX-BRA</t>
        </is>
      </c>
      <c r="B151" s="4" t="inlineStr">
        <is>
          <t>Braskem in-house warehouse</t>
        </is>
      </c>
      <c r="C151" s="4" t="inlineStr">
        <is>
          <t>Evaluación de riesgos y preparación previa al despliegue</t>
        </is>
      </c>
      <c r="D151" s="4" t="inlineStr">
        <is>
          <t>Risk assessment and pre-deployment preparation</t>
        </is>
      </c>
      <c r="E151" s="4" t="n">
        <v>5</v>
      </c>
      <c r="F151" s="4" t="n">
        <v>0</v>
      </c>
      <c r="G151" s="4" t="n">
        <v>2</v>
      </c>
      <c r="H151">
        <f>SUM(E151:G151)</f>
        <v/>
      </c>
    </row>
    <row r="152">
      <c r="A152" s="4" t="inlineStr">
        <is>
          <t>MX-BRA</t>
        </is>
      </c>
      <c r="B152" s="4" t="inlineStr">
        <is>
          <t>Braskem in-house warehouse</t>
        </is>
      </c>
      <c r="C152" s="4" t="inlineStr">
        <is>
          <t>Información, formación y vigilancia de la salud</t>
        </is>
      </c>
      <c r="D152" s="4" t="inlineStr">
        <is>
          <t>Information, training and health surveillance</t>
        </is>
      </c>
      <c r="E152" s="4" t="n">
        <v>2</v>
      </c>
      <c r="F152" s="4" t="n">
        <v>0</v>
      </c>
      <c r="G152" s="4" t="n">
        <v>1</v>
      </c>
      <c r="H152">
        <f>SUM(E152:G152)</f>
        <v/>
      </c>
    </row>
    <row r="153">
      <c r="A153" s="4" t="inlineStr">
        <is>
          <t>MX-BRA</t>
        </is>
      </c>
      <c r="B153" s="4" t="inlineStr">
        <is>
          <t>Braskem in-house warehouse</t>
        </is>
      </c>
      <c r="C153" s="4" t="inlineStr">
        <is>
          <t>Notificación de accidentes y recurso preventivo en centro ajeno</t>
        </is>
      </c>
      <c r="D153" s="4" t="inlineStr">
        <is>
          <t>Accident notification and recurso preventivo (on-site prevention supervisor) at a third-party site</t>
        </is>
      </c>
      <c r="E153" s="4" t="n">
        <v>3</v>
      </c>
      <c r="F153" s="4" t="n">
        <v>0</v>
      </c>
      <c r="G153" s="4" t="n">
        <v>0</v>
      </c>
      <c r="H153">
        <f>SUM(E153:G153)</f>
        <v/>
      </c>
    </row>
    <row r="154">
      <c r="A154" s="4" t="inlineStr">
        <is>
          <t>MX-BRA</t>
        </is>
      </c>
      <c r="B154" s="4" t="inlineStr">
        <is>
          <t>Braskem in-house warehouse</t>
        </is>
      </c>
      <c r="C154" s="4" t="inlineStr">
        <is>
          <t>Planes y programas en SST
Sistema de gestión SST</t>
        </is>
      </c>
      <c r="D154" s="4" t="inlineStr">
        <is>
          <t>OHS plans and programmes
OHS management system</t>
        </is>
      </c>
      <c r="E154" s="4" t="n">
        <v>1</v>
      </c>
      <c r="F154" s="4" t="n">
        <v>2</v>
      </c>
      <c r="G154" s="4" t="n">
        <v>0</v>
      </c>
      <c r="H154">
        <f>SUM(E154:G154)</f>
        <v/>
      </c>
    </row>
    <row r="155">
      <c r="A155" s="4" t="inlineStr">
        <is>
          <t>MX-BRA</t>
        </is>
      </c>
      <c r="B155" s="4" t="inlineStr">
        <is>
          <t>Braskem in-house warehouse</t>
        </is>
      </c>
      <c r="C155" s="4" t="inlineStr">
        <is>
          <t>Carga en altura y estanterías</t>
        </is>
      </c>
      <c r="D155" s="4" t="inlineStr">
        <is>
          <t>High-level loading and racking</t>
        </is>
      </c>
      <c r="E155" s="4" t="n">
        <v>1</v>
      </c>
      <c r="F155" s="4" t="n">
        <v>1</v>
      </c>
      <c r="G155" s="4" t="n">
        <v>0</v>
      </c>
      <c r="H155">
        <f>SUM(E155:G155)</f>
        <v/>
      </c>
    </row>
    <row r="156">
      <c r="A156" s="4" t="inlineStr">
        <is>
          <t>MX-BRA</t>
        </is>
      </c>
      <c r="B156" s="4" t="inlineStr">
        <is>
          <t>Braskem in-house warehouse</t>
        </is>
      </c>
      <c r="C156" s="4" t="inlineStr">
        <is>
          <t>Vehículos industriales</t>
        </is>
      </c>
      <c r="D156" s="4" t="inlineStr">
        <is>
          <t>Industrial vehicles</t>
        </is>
      </c>
      <c r="E156" s="4" t="n">
        <v>1</v>
      </c>
      <c r="F156" s="4" t="n">
        <v>0</v>
      </c>
      <c r="G156" s="4" t="n">
        <v>0</v>
      </c>
      <c r="H156">
        <f>SUM(E156:G156)</f>
        <v/>
      </c>
    </row>
    <row r="157">
      <c r="A157" s="4" t="inlineStr">
        <is>
          <t>MX-BRA</t>
        </is>
      </c>
      <c r="B157" s="4" t="inlineStr">
        <is>
          <t>Braskem in-house warehouse</t>
        </is>
      </c>
      <c r="C157" s="4" t="inlineStr">
        <is>
          <t>Manipulación de cargas</t>
        </is>
      </c>
      <c r="D157" s="4" t="inlineStr">
        <is>
          <t>Load handling</t>
        </is>
      </c>
      <c r="E157" s="4" t="n">
        <v>2</v>
      </c>
      <c r="F157" s="4" t="n">
        <v>0</v>
      </c>
      <c r="G157" s="4" t="n">
        <v>0</v>
      </c>
      <c r="H157">
        <f>SUM(E157:G157)</f>
        <v/>
      </c>
    </row>
    <row r="158">
      <c r="A158" s="4" t="inlineStr">
        <is>
          <t>MX-BRA</t>
        </is>
      </c>
      <c r="B158" s="4" t="inlineStr">
        <is>
          <t>Braskem in-house warehouse</t>
        </is>
      </c>
      <c r="C158" s="4" t="inlineStr">
        <is>
          <t>Agentes químicos y residuos peligrosos</t>
        </is>
      </c>
      <c r="D158" s="4" t="inlineStr">
        <is>
          <t>Chemical agents and hazardous waste</t>
        </is>
      </c>
      <c r="E158" s="4" t="n">
        <v>0</v>
      </c>
      <c r="F158" s="4" t="n">
        <v>0</v>
      </c>
      <c r="G158" s="4" t="n">
        <v>1</v>
      </c>
      <c r="H158">
        <f>SUM(E158:G158)</f>
        <v/>
      </c>
    </row>
    <row r="159">
      <c r="A159" s="4" t="inlineStr">
        <is>
          <t>MX-BRA</t>
        </is>
      </c>
      <c r="B159" s="4" t="inlineStr">
        <is>
          <t>Braskem in-house warehouse</t>
        </is>
      </c>
      <c r="C159" s="4" t="inlineStr">
        <is>
          <t>Prevención y protección contra incendios</t>
        </is>
      </c>
      <c r="D159" s="4" t="inlineStr">
        <is>
          <t>Fire prevention and protection</t>
        </is>
      </c>
      <c r="E159" s="4" t="n">
        <v>3</v>
      </c>
      <c r="F159" s="4" t="n">
        <v>0</v>
      </c>
      <c r="G159" s="4" t="n">
        <v>0</v>
      </c>
      <c r="H159">
        <f>SUM(E159:G159)</f>
        <v/>
      </c>
    </row>
    <row r="160">
      <c r="A160" s="4" t="inlineStr">
        <is>
          <t>MX-BRA</t>
        </is>
      </c>
      <c r="B160" s="4" t="inlineStr">
        <is>
          <t>Braskem in-house warehouse</t>
        </is>
      </c>
      <c r="C160" s="4" t="inlineStr">
        <is>
          <t>Plan de emergencia y protección civil</t>
        </is>
      </c>
      <c r="D160" s="4" t="inlineStr">
        <is>
          <t>Emergency and civil protection plan</t>
        </is>
      </c>
      <c r="E160" s="4" t="n">
        <v>1</v>
      </c>
      <c r="F160" s="4" t="n">
        <v>0</v>
      </c>
      <c r="G160" s="4" t="n">
        <v>0</v>
      </c>
      <c r="H160">
        <f>SUM(E160:G160)</f>
        <v/>
      </c>
    </row>
    <row r="161">
      <c r="A161" s="4" t="inlineStr">
        <is>
          <t>MX-ALT</t>
        </is>
      </c>
      <c r="B161" s="4" t="inlineStr">
        <is>
          <t>Altamira – Quantum warehouse &amp; services</t>
        </is>
      </c>
      <c r="C161" s="4" t="inlineStr">
        <is>
          <t>Coordinación con el cliente (obligaciones SST)</t>
        </is>
      </c>
      <c r="D161" s="4" t="inlineStr">
        <is>
          <t>Coordination with the client (OHS obligations)</t>
        </is>
      </c>
      <c r="E161" s="4" t="n">
        <v>0</v>
      </c>
      <c r="F161" s="4" t="n">
        <v>0</v>
      </c>
      <c r="G161" s="4" t="n">
        <v>4</v>
      </c>
      <c r="H161">
        <f>SUM(E161:G161)</f>
        <v/>
      </c>
    </row>
    <row r="162">
      <c r="A162" s="4" t="inlineStr">
        <is>
          <t>MX-ALT</t>
        </is>
      </c>
      <c r="B162" s="4" t="inlineStr">
        <is>
          <t>Altamira – Quantum warehouse &amp; services</t>
        </is>
      </c>
      <c r="C162" s="4" t="inlineStr">
        <is>
          <t>Evaluación de riesgos y preparación previa al despliegue</t>
        </is>
      </c>
      <c r="D162" s="4" t="inlineStr">
        <is>
          <t>Risk assessment and pre-deployment preparation</t>
        </is>
      </c>
      <c r="E162" s="4" t="n">
        <v>0</v>
      </c>
      <c r="F162" s="4" t="n">
        <v>0</v>
      </c>
      <c r="G162" s="4" t="n">
        <v>7</v>
      </c>
      <c r="H162">
        <f>SUM(E162:G162)</f>
        <v/>
      </c>
    </row>
    <row r="163">
      <c r="A163" s="4" t="inlineStr">
        <is>
          <t>MX-ALT</t>
        </is>
      </c>
      <c r="B163" s="4" t="inlineStr">
        <is>
          <t>Altamira – Quantum warehouse &amp; services</t>
        </is>
      </c>
      <c r="C163" s="4" t="inlineStr">
        <is>
          <t>Información, formación y vigilancia de la salud</t>
        </is>
      </c>
      <c r="D163" s="4" t="inlineStr">
        <is>
          <t>Information, training and health surveillance</t>
        </is>
      </c>
      <c r="E163" s="4" t="n">
        <v>0</v>
      </c>
      <c r="F163" s="4" t="n">
        <v>0</v>
      </c>
      <c r="G163" s="4" t="n">
        <v>3</v>
      </c>
      <c r="H163">
        <f>SUM(E163:G163)</f>
        <v/>
      </c>
    </row>
    <row r="164">
      <c r="A164" s="4" t="inlineStr">
        <is>
          <t>MX-ALT</t>
        </is>
      </c>
      <c r="B164" s="4" t="inlineStr">
        <is>
          <t>Altamira – Quantum warehouse &amp; services</t>
        </is>
      </c>
      <c r="C164" s="4" t="inlineStr">
        <is>
          <t>Notificación de accidentes y recurso preventivo en centro ajeno</t>
        </is>
      </c>
      <c r="D164" s="4" t="inlineStr">
        <is>
          <t>Accident notification and recurso preventivo (on-site prevention supervisor) at a third-party site</t>
        </is>
      </c>
      <c r="E164" s="4" t="n">
        <v>0</v>
      </c>
      <c r="F164" s="4" t="n">
        <v>0</v>
      </c>
      <c r="G164" s="4" t="n">
        <v>3</v>
      </c>
      <c r="H164">
        <f>SUM(E164:G164)</f>
        <v/>
      </c>
    </row>
    <row r="165">
      <c r="A165" s="4" t="inlineStr">
        <is>
          <t>MX-ALT</t>
        </is>
      </c>
      <c r="B165" s="4" t="inlineStr">
        <is>
          <t>Altamira – Quantum warehouse &amp; services</t>
        </is>
      </c>
      <c r="C165" s="4" t="inlineStr">
        <is>
          <t>Planes y programas en SST
Sistema de gestión SST</t>
        </is>
      </c>
      <c r="D165" s="4" t="inlineStr">
        <is>
          <t>OHS plans and programmes
OHS management system</t>
        </is>
      </c>
      <c r="E165" s="4" t="n">
        <v>0</v>
      </c>
      <c r="F165" s="4" t="n">
        <v>0</v>
      </c>
      <c r="G165" s="4" t="n">
        <v>3</v>
      </c>
      <c r="H165">
        <f>SUM(E165:G165)</f>
        <v/>
      </c>
    </row>
    <row r="166">
      <c r="A166" s="4" t="inlineStr">
        <is>
          <t>MX-ALT</t>
        </is>
      </c>
      <c r="B166" s="4" t="inlineStr">
        <is>
          <t>Altamira – Quantum warehouse &amp; services</t>
        </is>
      </c>
      <c r="C166" s="4" t="inlineStr">
        <is>
          <t>Carga en altura y estanterías</t>
        </is>
      </c>
      <c r="D166" s="4" t="inlineStr">
        <is>
          <t>High-level loading and racking</t>
        </is>
      </c>
      <c r="E166" s="4" t="n">
        <v>0</v>
      </c>
      <c r="F166" s="4" t="n">
        <v>0</v>
      </c>
      <c r="G166" s="4" t="n">
        <v>2</v>
      </c>
      <c r="H166">
        <f>SUM(E166:G166)</f>
        <v/>
      </c>
    </row>
    <row r="167">
      <c r="A167" s="4" t="inlineStr">
        <is>
          <t>MX-ALT</t>
        </is>
      </c>
      <c r="B167" s="4" t="inlineStr">
        <is>
          <t>Altamira – Quantum warehouse &amp; services</t>
        </is>
      </c>
      <c r="C167" s="4" t="inlineStr">
        <is>
          <t>Vehículos industriales</t>
        </is>
      </c>
      <c r="D167" s="4" t="inlineStr">
        <is>
          <t>Industrial vehicles</t>
        </is>
      </c>
      <c r="E167" s="4" t="n">
        <v>0</v>
      </c>
      <c r="F167" s="4" t="n">
        <v>0</v>
      </c>
      <c r="G167" s="4" t="n">
        <v>1</v>
      </c>
      <c r="H167">
        <f>SUM(E167:G167)</f>
        <v/>
      </c>
    </row>
    <row r="168">
      <c r="A168" s="4" t="inlineStr">
        <is>
          <t>MX-ALT</t>
        </is>
      </c>
      <c r="B168" s="4" t="inlineStr">
        <is>
          <t>Altamira – Quantum warehouse &amp; services</t>
        </is>
      </c>
      <c r="C168" s="4" t="inlineStr">
        <is>
          <t>Manipulación de cargas</t>
        </is>
      </c>
      <c r="D168" s="4" t="inlineStr">
        <is>
          <t>Load handling</t>
        </is>
      </c>
      <c r="E168" s="4" t="n">
        <v>0</v>
      </c>
      <c r="F168" s="4" t="n">
        <v>0</v>
      </c>
      <c r="G168" s="4" t="n">
        <v>2</v>
      </c>
      <c r="H168">
        <f>SUM(E168:G168)</f>
        <v/>
      </c>
    </row>
    <row r="169">
      <c r="A169" s="4" t="inlineStr">
        <is>
          <t>MX-ALT</t>
        </is>
      </c>
      <c r="B169" s="4" t="inlineStr">
        <is>
          <t>Altamira – Quantum warehouse &amp; services</t>
        </is>
      </c>
      <c r="C169" s="4" t="inlineStr">
        <is>
          <t>Agentes químicos y residuos peligrosos</t>
        </is>
      </c>
      <c r="D169" s="4" t="inlineStr">
        <is>
          <t>Chemical agents and hazardous waste</t>
        </is>
      </c>
      <c r="E169" s="4" t="n">
        <v>0</v>
      </c>
      <c r="F169" s="4" t="n">
        <v>0</v>
      </c>
      <c r="G169" s="4" t="n">
        <v>1</v>
      </c>
      <c r="H169">
        <f>SUM(E169:G169)</f>
        <v/>
      </c>
    </row>
    <row r="170">
      <c r="A170" s="4" t="inlineStr">
        <is>
          <t>MX-ALT</t>
        </is>
      </c>
      <c r="B170" s="4" t="inlineStr">
        <is>
          <t>Altamira – Quantum warehouse &amp; services</t>
        </is>
      </c>
      <c r="C170" s="4" t="inlineStr">
        <is>
          <t>Prevención y protección contra incendios</t>
        </is>
      </c>
      <c r="D170" s="4" t="inlineStr">
        <is>
          <t>Fire prevention and protection</t>
        </is>
      </c>
      <c r="E170" s="4" t="n">
        <v>0</v>
      </c>
      <c r="F170" s="4" t="n">
        <v>0</v>
      </c>
      <c r="G170" s="4" t="n">
        <v>3</v>
      </c>
      <c r="H170">
        <f>SUM(E170:G170)</f>
        <v/>
      </c>
    </row>
    <row r="171">
      <c r="A171" s="4" t="inlineStr">
        <is>
          <t>MX-ALT</t>
        </is>
      </c>
      <c r="B171" s="4" t="inlineStr">
        <is>
          <t>Altamira – Quantum warehouse &amp; services</t>
        </is>
      </c>
      <c r="C171" s="4" t="inlineStr">
        <is>
          <t>Plan de emergencia y protección civil</t>
        </is>
      </c>
      <c r="D171" s="4" t="inlineStr">
        <is>
          <t>Emergency and civil protection plan</t>
        </is>
      </c>
      <c r="E171" s="4" t="n">
        <v>0</v>
      </c>
      <c r="F171" s="4" t="n">
        <v>0</v>
      </c>
      <c r="G171" s="4" t="n">
        <v>1</v>
      </c>
      <c r="H171">
        <f>SUM(E171:G171)</f>
        <v/>
      </c>
    </row>
    <row r="172">
      <c r="A172" s="4" t="inlineStr">
        <is>
          <t>MX-SCH</t>
        </is>
      </c>
      <c r="B172" s="4" t="inlineStr">
        <is>
          <t>Schneider general services (Monterrey)</t>
        </is>
      </c>
      <c r="C172" s="4" t="inlineStr">
        <is>
          <t>Organización y gestión del sistema SST</t>
        </is>
      </c>
      <c r="D172" s="4" t="inlineStr">
        <is>
          <t>Organisation and management of the OHS system</t>
        </is>
      </c>
      <c r="E172" s="4" t="n">
        <v>3</v>
      </c>
      <c r="F172" s="4" t="n">
        <v>1</v>
      </c>
      <c r="G172" s="4" t="n">
        <v>5</v>
      </c>
      <c r="H172">
        <f>SUM(E172:G172)</f>
        <v/>
      </c>
    </row>
    <row r="173">
      <c r="A173" s="4" t="inlineStr">
        <is>
          <t>MX-SCH</t>
        </is>
      </c>
      <c r="B173" s="4" t="inlineStr">
        <is>
          <t>Schneider general services (Monterrey)</t>
        </is>
      </c>
      <c r="C173" s="4" t="inlineStr">
        <is>
          <t>Coordinación con el cliente (.)</t>
        </is>
      </c>
      <c r="D173" s="4" t="inlineStr">
        <is>
          <t>Coordination with the client (.)</t>
        </is>
      </c>
      <c r="E173" s="4" t="n">
        <v>4</v>
      </c>
      <c r="F173" s="4" t="n">
        <v>1</v>
      </c>
      <c r="G173" s="4" t="n">
        <v>1</v>
      </c>
      <c r="H173">
        <f>SUM(E173:G173)</f>
        <v/>
      </c>
    </row>
    <row r="174">
      <c r="A174" s="4" t="inlineStr">
        <is>
          <t>MX-SCH</t>
        </is>
      </c>
      <c r="B174" s="4" t="inlineStr">
        <is>
          <t>Schneider general services (Monterrey)</t>
        </is>
      </c>
      <c r="C174" s="4" t="inlineStr">
        <is>
          <t>Operaciones logísticas en instalaciones del cliente</t>
        </is>
      </c>
      <c r="D174" s="4" t="inlineStr">
        <is>
          <t>Logistics operations at client premises</t>
        </is>
      </c>
      <c r="E174" s="4" t="n">
        <v>1</v>
      </c>
      <c r="F174" s="4" t="n">
        <v>0</v>
      </c>
      <c r="G174" s="4" t="n">
        <v>1</v>
      </c>
      <c r="H174">
        <f>SUM(E174:G174)</f>
        <v/>
      </c>
    </row>
    <row r="175">
      <c r="A175" s="4" t="inlineStr">
        <is>
          <t>MX-SCH</t>
        </is>
      </c>
      <c r="B175" s="4" t="inlineStr">
        <is>
          <t>Schneider general services (Monterrey)</t>
        </is>
      </c>
      <c r="C175" s="4" t="inlineStr">
        <is>
          <t>Emergencias, EPP y bienestar en instalaciones del cliente</t>
        </is>
      </c>
      <c r="D175" s="4" t="inlineStr">
        <is>
          <t>Emergencies, PPE and welfare at client premises</t>
        </is>
      </c>
      <c r="E175" s="4" t="n">
        <v>5</v>
      </c>
      <c r="F175" s="4" t="n">
        <v>0</v>
      </c>
      <c r="G175" s="4" t="n">
        <v>0</v>
      </c>
      <c r="H175">
        <f>SUM(E175:G175)</f>
        <v/>
      </c>
    </row>
    <row r="176">
      <c r="A176" s="4" t="inlineStr">
        <is>
          <t>MX-CHE</t>
        </is>
      </c>
      <c r="B176" s="4" t="inlineStr">
        <is>
          <t>Chetumal general services</t>
        </is>
      </c>
      <c r="C176" s="4" t="inlineStr">
        <is>
          <t>Organización y gestión del sistema SST</t>
        </is>
      </c>
      <c r="D176" s="4" t="inlineStr">
        <is>
          <t>Organisation and management of the OHS system</t>
        </is>
      </c>
      <c r="E176" s="4" t="n">
        <v>3</v>
      </c>
      <c r="F176" s="4" t="n">
        <v>0</v>
      </c>
      <c r="G176" s="4" t="n">
        <v>6</v>
      </c>
      <c r="H176">
        <f>SUM(E176:G176)</f>
        <v/>
      </c>
    </row>
    <row r="177">
      <c r="A177" s="4" t="inlineStr">
        <is>
          <t>MX-CHE</t>
        </is>
      </c>
      <c r="B177" s="4" t="inlineStr">
        <is>
          <t>Chetumal general services</t>
        </is>
      </c>
      <c r="C177" s="4" t="inlineStr">
        <is>
          <t>Coordinación con el cliente (.)</t>
        </is>
      </c>
      <c r="D177" s="4" t="inlineStr">
        <is>
          <t>Coordination with the client (.)</t>
        </is>
      </c>
      <c r="E177" s="4" t="n">
        <v>2</v>
      </c>
      <c r="F177" s="4" t="n">
        <v>0</v>
      </c>
      <c r="G177" s="4" t="n">
        <v>4</v>
      </c>
      <c r="H177">
        <f>SUM(E177:G177)</f>
        <v/>
      </c>
    </row>
    <row r="178">
      <c r="A178" s="4" t="inlineStr">
        <is>
          <t>MX-CHE</t>
        </is>
      </c>
      <c r="B178" s="4" t="inlineStr">
        <is>
          <t>Chetumal general services</t>
        </is>
      </c>
      <c r="C178" s="4" t="inlineStr">
        <is>
          <t>Operaciones logísticas en instalaciones del cliente</t>
        </is>
      </c>
      <c r="D178" s="4" t="inlineStr">
        <is>
          <t>Logistics operations at client premises</t>
        </is>
      </c>
      <c r="E178" s="4" t="n">
        <v>0</v>
      </c>
      <c r="F178" s="4" t="n">
        <v>0</v>
      </c>
      <c r="G178" s="4" t="n">
        <v>3</v>
      </c>
      <c r="H178">
        <f>SUM(E178:G178)</f>
        <v/>
      </c>
    </row>
    <row r="179">
      <c r="A179" s="4" t="inlineStr">
        <is>
          <t>MX-CHE</t>
        </is>
      </c>
      <c r="B179" s="4" t="inlineStr">
        <is>
          <t>Chetumal general services</t>
        </is>
      </c>
      <c r="C179" s="4" t="inlineStr">
        <is>
          <t>Emergencias, EPP y bienestar en instalaciones del cliente</t>
        </is>
      </c>
      <c r="D179" s="4" t="inlineStr">
        <is>
          <t>Emergencies, PPE and welfare at client premises</t>
        </is>
      </c>
      <c r="E179" s="4" t="n">
        <v>3</v>
      </c>
      <c r="F179" s="4" t="n">
        <v>0</v>
      </c>
      <c r="G179" s="4" t="n">
        <v>2</v>
      </c>
      <c r="H179">
        <f>SUM(E179:G179)</f>
        <v/>
      </c>
    </row>
    <row r="180">
      <c r="A180" s="4" t="inlineStr">
        <is>
          <t>CO-EPC</t>
        </is>
      </c>
      <c r="B180" s="4" t="inlineStr">
        <is>
          <t>EPC Solar project</t>
        </is>
      </c>
      <c r="C180" s="4" t="inlineStr">
        <is>
          <t>SG-SST Marco general</t>
        </is>
      </c>
      <c r="D180" s="4" t="inlineStr">
        <is>
          <t>SG-SST general framework</t>
        </is>
      </c>
      <c r="E180" s="4" t="n">
        <v>4</v>
      </c>
      <c r="F180" s="4" t="n">
        <v>0</v>
      </c>
      <c r="G180" s="4" t="n">
        <v>3</v>
      </c>
      <c r="H180">
        <f>SUM(E180:G180)</f>
        <v/>
      </c>
    </row>
    <row r="181">
      <c r="A181" s="4" t="inlineStr">
        <is>
          <t>CO-EPC</t>
        </is>
      </c>
      <c r="B181" s="4" t="inlineStr">
        <is>
          <t>EPC Solar project</t>
        </is>
      </c>
      <c r="C181" s="4" t="inlineStr">
        <is>
          <t>Carga en altura / Izaje</t>
        </is>
      </c>
      <c r="D181" s="4" t="inlineStr">
        <is>
          <t>Loads at height / Lifting</t>
        </is>
      </c>
      <c r="E181" s="4" t="n">
        <v>0</v>
      </c>
      <c r="F181" s="4" t="n">
        <v>0</v>
      </c>
      <c r="G181" s="4" t="n">
        <v>3</v>
      </c>
      <c r="H181">
        <f>SUM(E181:G181)</f>
        <v/>
      </c>
    </row>
    <row r="182">
      <c r="A182" s="4" t="inlineStr">
        <is>
          <t>CO-EPC</t>
        </is>
      </c>
      <c r="B182" s="4" t="inlineStr">
        <is>
          <t>EPC Solar project</t>
        </is>
      </c>
      <c r="C182" s="4" t="inlineStr">
        <is>
          <t>Manipulacion de cargas</t>
        </is>
      </c>
      <c r="D182" s="4" t="inlineStr">
        <is>
          <t>Load handling</t>
        </is>
      </c>
      <c r="E182" s="4" t="n">
        <v>1</v>
      </c>
      <c r="F182" s="4" t="n">
        <v>0</v>
      </c>
      <c r="G182" s="4" t="n">
        <v>2</v>
      </c>
      <c r="H182">
        <f>SUM(E182:G182)</f>
        <v/>
      </c>
    </row>
    <row r="183">
      <c r="A183" s="4" t="inlineStr">
        <is>
          <t>CO-EPC</t>
        </is>
      </c>
      <c r="B183" s="4" t="inlineStr">
        <is>
          <t>EPC Solar project</t>
        </is>
      </c>
      <c r="C183" s="4" t="inlineStr">
        <is>
          <t>Atrapamiento / Maquinaria</t>
        </is>
      </c>
      <c r="D183" s="4" t="inlineStr">
        <is>
          <t>Entrapment / Machinery</t>
        </is>
      </c>
      <c r="E183" s="4" t="n">
        <v>0</v>
      </c>
      <c r="F183" s="4" t="n">
        <v>0</v>
      </c>
      <c r="G183" s="4" t="n">
        <v>1</v>
      </c>
      <c r="H183">
        <f>SUM(E183:G183)</f>
        <v/>
      </c>
    </row>
    <row r="184">
      <c r="A184" s="4" t="inlineStr">
        <is>
          <t>CO-EPC</t>
        </is>
      </c>
      <c r="B184" s="4" t="inlineStr">
        <is>
          <t>EPC Solar project</t>
        </is>
      </c>
      <c r="C184" s="4" t="inlineStr">
        <is>
          <t>Caida de cargas y objetos</t>
        </is>
      </c>
      <c r="D184" s="4" t="inlineStr">
        <is>
          <t>Falling loads and objects</t>
        </is>
      </c>
      <c r="E184" s="4" t="n">
        <v>1</v>
      </c>
      <c r="F184" s="4" t="n">
        <v>1</v>
      </c>
      <c r="G184" s="4" t="n">
        <v>0</v>
      </c>
      <c r="H184">
        <f>SUM(E184:G184)</f>
        <v/>
      </c>
    </row>
    <row r="185">
      <c r="A185" s="4" t="inlineStr">
        <is>
          <t>CO-EPC</t>
        </is>
      </c>
      <c r="B185" s="4" t="inlineStr">
        <is>
          <t>EPC Solar project</t>
        </is>
      </c>
      <c r="C185" s="4" t="inlineStr">
        <is>
          <t>Trabajo en altura</t>
        </is>
      </c>
      <c r="D185" s="4" t="inlineStr">
        <is>
          <t>Work at height</t>
        </is>
      </c>
      <c r="E185" s="4" t="n">
        <v>1</v>
      </c>
      <c r="F185" s="4" t="n">
        <v>3</v>
      </c>
      <c r="G185" s="4" t="n">
        <v>2</v>
      </c>
      <c r="H185">
        <f>SUM(E185:G185)</f>
        <v/>
      </c>
    </row>
    <row r="186">
      <c r="A186" s="4" t="inlineStr">
        <is>
          <t>CO-EPC</t>
        </is>
      </c>
      <c r="B186" s="4" t="inlineStr">
        <is>
          <t>EPC Solar project</t>
        </is>
      </c>
      <c r="C186" s="4" t="inlineStr">
        <is>
          <t>Riesgo electrico</t>
        </is>
      </c>
      <c r="D186" s="4" t="inlineStr">
        <is>
          <t>Electrical risk</t>
        </is>
      </c>
      <c r="E186" s="4" t="n">
        <v>0</v>
      </c>
      <c r="F186" s="4" t="n">
        <v>0</v>
      </c>
      <c r="G186" s="4" t="n">
        <v>5</v>
      </c>
      <c r="H186">
        <f>SUM(E186:G186)</f>
        <v/>
      </c>
    </row>
    <row r="187">
      <c r="A187" s="4" t="inlineStr">
        <is>
          <t>CO-EPC</t>
        </is>
      </c>
      <c r="B187" s="4" t="inlineStr">
        <is>
          <t>EPC Solar project</t>
        </is>
      </c>
      <c r="C187" s="4" t="inlineStr">
        <is>
          <t>Riesgo de incendio</t>
        </is>
      </c>
      <c r="D187" s="4" t="inlineStr">
        <is>
          <t>Fire risk</t>
        </is>
      </c>
      <c r="E187" s="4" t="n">
        <v>0</v>
      </c>
      <c r="F187" s="4" t="n">
        <v>1</v>
      </c>
      <c r="G187" s="4" t="n">
        <v>0</v>
      </c>
      <c r="H187">
        <f>SUM(E187:G187)</f>
        <v/>
      </c>
    </row>
    <row r="188">
      <c r="A188" s="4" t="inlineStr">
        <is>
          <t>CO-EPC</t>
        </is>
      </c>
      <c r="B188" s="4" t="inlineStr">
        <is>
          <t>EPC Solar project</t>
        </is>
      </c>
      <c r="C188" s="4" t="inlineStr">
        <is>
          <t>Gestion de contratistas</t>
        </is>
      </c>
      <c r="D188" s="4" t="inlineStr">
        <is>
          <t>Contractor management</t>
        </is>
      </c>
      <c r="E188" s="4" t="n">
        <v>1</v>
      </c>
      <c r="F188" s="4" t="n">
        <v>0</v>
      </c>
      <c r="G188" s="4" t="n">
        <v>5</v>
      </c>
      <c r="H188">
        <f>SUM(E188:G188)</f>
        <v/>
      </c>
    </row>
    <row r="189">
      <c r="A189" s="4" t="inlineStr">
        <is>
          <t>CO-EPC</t>
        </is>
      </c>
      <c r="B189" s="4" t="inlineStr">
        <is>
          <t>EPC Solar project</t>
        </is>
      </c>
      <c r="C189" s="4" t="inlineStr">
        <is>
          <t>Carga y descarga / Vehiculos</t>
        </is>
      </c>
      <c r="D189" s="4" t="inlineStr">
        <is>
          <t>Loading and unloading / Vehicles</t>
        </is>
      </c>
      <c r="E189" s="4" t="n">
        <v>0</v>
      </c>
      <c r="F189" s="4" t="n">
        <v>1</v>
      </c>
      <c r="G189" s="4" t="n">
        <v>3</v>
      </c>
      <c r="H189">
        <f>SUM(E189:G189)</f>
        <v/>
      </c>
    </row>
    <row r="190">
      <c r="A190" s="4" t="inlineStr">
        <is>
          <t>CO-EPC</t>
        </is>
      </c>
      <c r="B190" s="4" t="inlineStr">
        <is>
          <t>EPC Solar project</t>
        </is>
      </c>
      <c r="C190" s="4" t="inlineStr">
        <is>
          <t>Riesgo público</t>
        </is>
      </c>
      <c r="D190" s="4" t="inlineStr">
        <is>
          <t>Public risk</t>
        </is>
      </c>
      <c r="E190" s="4" t="n">
        <v>1</v>
      </c>
      <c r="F190" s="4" t="n">
        <v>0</v>
      </c>
      <c r="G190" s="4" t="n">
        <v>0</v>
      </c>
      <c r="H190">
        <f>SUM(E190:G190)</f>
        <v/>
      </c>
    </row>
    <row r="191">
      <c r="A191" s="4" t="inlineStr">
        <is>
          <t>CO-HOM</t>
        </is>
      </c>
      <c r="B191" s="4" t="inlineStr">
        <is>
          <t>Home-office (teleworking)</t>
        </is>
      </c>
      <c r="C191" s="4" t="inlineStr">
        <is>
          <t>Teletrabajo y trabajo en casa — marco legal y contractual</t>
        </is>
      </c>
      <c r="D191" s="4" t="inlineStr">
        <is>
          <t>Teleworking and working from home — legal and contractual framework</t>
        </is>
      </c>
      <c r="E191" s="4" t="n">
        <v>2</v>
      </c>
      <c r="F191" s="4" t="n">
        <v>0</v>
      </c>
      <c r="G191" s="4" t="n">
        <v>2</v>
      </c>
      <c r="H191">
        <f>SUM(E191:G191)</f>
        <v/>
      </c>
    </row>
    <row r="192">
      <c r="A192" s="4" t="inlineStr">
        <is>
          <t>CO-HOM</t>
        </is>
      </c>
      <c r="B192" s="4" t="inlineStr">
        <is>
          <t>Home-office (teleworking)</t>
        </is>
      </c>
      <c r="C192" s="4" t="inlineStr">
        <is>
          <t>Organización del SG-SST para trabajadores remotos</t>
        </is>
      </c>
      <c r="D192" s="4" t="inlineStr">
        <is>
          <t>Organisation of the SG-SST (OHS management system) for remote workers</t>
        </is>
      </c>
      <c r="E192" s="4" t="n">
        <v>3</v>
      </c>
      <c r="F192" s="4" t="n">
        <v>1</v>
      </c>
      <c r="G192" s="4" t="n">
        <v>1</v>
      </c>
      <c r="H192">
        <f>SUM(E192:G192)</f>
        <v/>
      </c>
    </row>
    <row r="193">
      <c r="A193" s="4" t="inlineStr">
        <is>
          <t>CO-HOM</t>
        </is>
      </c>
      <c r="B193" s="4" t="inlineStr">
        <is>
          <t>Home-office (teleworking)</t>
        </is>
      </c>
      <c r="C193" s="4" t="inlineStr">
        <is>
          <t>Riesgos ergonómicos y pantallas (PVD) en domicilio</t>
        </is>
      </c>
      <c r="D193" s="4" t="inlineStr">
        <is>
          <t>Ergonomic and display screen equipment (PVD) risks at home</t>
        </is>
      </c>
      <c r="E193" s="4" t="n">
        <v>0</v>
      </c>
      <c r="F193" s="4" t="n">
        <v>0</v>
      </c>
      <c r="G193" s="4" t="n">
        <v>3</v>
      </c>
      <c r="H193">
        <f>SUM(E193:G193)</f>
        <v/>
      </c>
    </row>
    <row r="194">
      <c r="A194" s="4" t="inlineStr">
        <is>
          <t>CO-HOM</t>
        </is>
      </c>
      <c r="B194" s="4" t="inlineStr">
        <is>
          <t>Home-office (teleworking)</t>
        </is>
      </c>
      <c r="C194" s="4" t="inlineStr">
        <is>
          <t>Riesgos psicosociales en trabajo remoto</t>
        </is>
      </c>
      <c r="D194" s="4" t="inlineStr">
        <is>
          <t>Psychosocial risks in remote work</t>
        </is>
      </c>
      <c r="E194" s="4" t="n">
        <v>0</v>
      </c>
      <c r="F194" s="4" t="n">
        <v>1</v>
      </c>
      <c r="G194" s="4" t="n">
        <v>3</v>
      </c>
      <c r="H194">
        <f>SUM(E194:G194)</f>
        <v/>
      </c>
    </row>
    <row r="195">
      <c r="A195" s="4" t="inlineStr">
        <is>
          <t>CO-HOM</t>
        </is>
      </c>
      <c r="B195" s="4" t="inlineStr">
        <is>
          <t>Home-office (teleworking)</t>
        </is>
      </c>
      <c r="C195" s="4" t="inlineStr">
        <is>
          <t>Seguridad eléctrica y condiciones físicas del domicilio</t>
        </is>
      </c>
      <c r="D195" s="4" t="inlineStr">
        <is>
          <t>Electrical safety and physical conditions of the home</t>
        </is>
      </c>
      <c r="E195" s="4" t="n">
        <v>0</v>
      </c>
      <c r="F195" s="4" t="n">
        <v>0</v>
      </c>
      <c r="G195" s="4" t="n">
        <v>2</v>
      </c>
      <c r="H195">
        <f>SUM(E195:G195)</f>
        <v/>
      </c>
    </row>
    <row r="196">
      <c r="A196" s="4" t="inlineStr">
        <is>
          <t>CO-HOM</t>
        </is>
      </c>
      <c r="B196" s="4" t="inlineStr">
        <is>
          <t>Home-office (teleworking)</t>
        </is>
      </c>
      <c r="C196" s="4" t="inlineStr">
        <is>
          <t>Gestión de emergencias y primeros auxilios en domicilio</t>
        </is>
      </c>
      <c r="D196" s="4" t="inlineStr">
        <is>
          <t>Emergency management and first aid at home</t>
        </is>
      </c>
      <c r="E196" s="4" t="n">
        <v>0</v>
      </c>
      <c r="F196" s="4" t="n">
        <v>2</v>
      </c>
      <c r="G196" s="4" t="n">
        <v>1</v>
      </c>
      <c r="H196">
        <f>SUM(E196:G196)</f>
        <v/>
      </c>
    </row>
    <row r="197">
      <c r="A197" s="4" t="inlineStr">
        <is>
          <t>FR-OFF</t>
        </is>
      </c>
      <c r="B197" s="4" t="inlineStr">
        <is>
          <t>Villeurbanne Office</t>
        </is>
      </c>
      <c r="C197" s="4" t="inlineStr">
        <is>
          <t>Risque Psychosociaux (RPS)</t>
        </is>
      </c>
      <c r="D197" s="4" t="inlineStr">
        <is>
          <t>Psychosocial Risks (RPS)</t>
        </is>
      </c>
      <c r="E197" s="4" t="n">
        <v>0</v>
      </c>
      <c r="F197" s="4" t="n">
        <v>0</v>
      </c>
      <c r="G197" s="4" t="n">
        <v>9</v>
      </c>
      <c r="H197">
        <f>SUM(E197:G197)</f>
        <v/>
      </c>
    </row>
    <row r="198">
      <c r="A198" s="4" t="inlineStr">
        <is>
          <t>FR-OFF</t>
        </is>
      </c>
      <c r="B198" s="4" t="inlineStr">
        <is>
          <t>Villeurbanne Office</t>
        </is>
      </c>
      <c r="C198" s="4" t="inlineStr">
        <is>
          <t>Risque d'incendie</t>
        </is>
      </c>
      <c r="D198" s="4" t="inlineStr">
        <is>
          <t>Fire risk</t>
        </is>
      </c>
      <c r="E198" s="4" t="n">
        <v>0</v>
      </c>
      <c r="F198" s="4" t="n">
        <v>0</v>
      </c>
      <c r="G198" s="4" t="n">
        <v>7</v>
      </c>
      <c r="H198">
        <f>SUM(E198:G198)</f>
        <v/>
      </c>
    </row>
    <row r="199">
      <c r="A199" s="4" t="inlineStr">
        <is>
          <t>FR-OFF</t>
        </is>
      </c>
      <c r="B199" s="4" t="inlineStr">
        <is>
          <t>Villeurbanne Office</t>
        </is>
      </c>
      <c r="C199" s="4" t="inlineStr">
        <is>
          <t>Plan d'urgence</t>
        </is>
      </c>
      <c r="D199" s="4" t="inlineStr">
        <is>
          <t>Emergency plan</t>
        </is>
      </c>
      <c r="E199" s="4" t="n">
        <v>0</v>
      </c>
      <c r="F199" s="4" t="n">
        <v>0</v>
      </c>
      <c r="G199" s="4" t="n">
        <v>6</v>
      </c>
      <c r="H199">
        <f>SUM(E199:G199)</f>
        <v/>
      </c>
    </row>
    <row r="200">
      <c r="A200" s="4" t="inlineStr">
        <is>
          <t>FR-OFF</t>
        </is>
      </c>
      <c r="B200" s="4" t="inlineStr">
        <is>
          <t>Villeurbanne Office</t>
        </is>
      </c>
      <c r="C200" s="4" t="inlineStr">
        <is>
          <t>Gestion des écrans</t>
        </is>
      </c>
      <c r="D200" s="4" t="inlineStr">
        <is>
          <t>Screen management</t>
        </is>
      </c>
      <c r="E200" s="4" t="n">
        <v>0</v>
      </c>
      <c r="F200" s="4" t="n">
        <v>0</v>
      </c>
      <c r="G200" s="4" t="n">
        <v>8</v>
      </c>
      <c r="H200">
        <f>SUM(E200:G200)</f>
        <v/>
      </c>
    </row>
    <row r="201">
      <c r="A201" s="4" t="inlineStr">
        <is>
          <t>FR-EPC</t>
        </is>
      </c>
      <c r="B201" s="4" t="inlineStr">
        <is>
          <t>EPC – subcontractor &amp; logistics</t>
        </is>
      </c>
      <c r="C201" s="4" t="inlineStr">
        <is>
          <t>Stockage</t>
        </is>
      </c>
      <c r="D201" s="4" t="inlineStr">
        <is>
          <t>Storage</t>
        </is>
      </c>
      <c r="E201" s="4" t="n">
        <v>0</v>
      </c>
      <c r="F201" s="4" t="n">
        <v>0</v>
      </c>
      <c r="G201" s="4" t="n">
        <v>8</v>
      </c>
      <c r="H201">
        <f>SUM(E201:G201)</f>
        <v/>
      </c>
    </row>
    <row r="202">
      <c r="A202" s="4" t="inlineStr">
        <is>
          <t>FR-EPC</t>
        </is>
      </c>
      <c r="B202" s="4" t="inlineStr">
        <is>
          <t>EPC – subcontractor &amp; logistics</t>
        </is>
      </c>
      <c r="C202" s="4" t="inlineStr">
        <is>
          <t>Gestion Sous-Traitants</t>
        </is>
      </c>
      <c r="D202" s="4" t="inlineStr">
        <is>
          <t>Subcontractor Management</t>
        </is>
      </c>
      <c r="E202" s="4" t="n">
        <v>0</v>
      </c>
      <c r="F202" s="4" t="n">
        <v>2</v>
      </c>
      <c r="G202" s="4" t="n">
        <v>9</v>
      </c>
      <c r="H202">
        <f>SUM(E202:G202)</f>
        <v/>
      </c>
    </row>
    <row r="203">
      <c r="A203" s="4" t="inlineStr">
        <is>
          <t>FR-EPC</t>
        </is>
      </c>
      <c r="B203" s="4" t="inlineStr">
        <is>
          <t>EPC – subcontractor &amp; logistics</t>
        </is>
      </c>
      <c r="C203" s="4" t="inlineStr">
        <is>
          <t>Manutention de charges lourdes avec équipements (grue, palan, etc.)</t>
        </is>
      </c>
      <c r="D203" s="4" t="inlineStr">
        <is>
          <t>Handling of heavy loads with equipment (crane, hoist, etc.)</t>
        </is>
      </c>
      <c r="E203" s="4" t="n">
        <v>0</v>
      </c>
      <c r="F203" s="4" t="n">
        <v>0</v>
      </c>
      <c r="G203" s="4" t="n">
        <v>1</v>
      </c>
      <c r="H203">
        <f>SUM(E203:G203)</f>
        <v/>
      </c>
    </row>
    <row r="204">
      <c r="A204" s="4" t="inlineStr">
        <is>
          <t>FR-EPC</t>
        </is>
      </c>
      <c r="B204" s="4" t="inlineStr">
        <is>
          <t>EPC – subcontractor &amp; logistics</t>
        </is>
      </c>
      <c r="C204" s="4" t="inlineStr">
        <is>
          <t>Manutention manuelle de charges</t>
        </is>
      </c>
      <c r="D204" s="4" t="inlineStr">
        <is>
          <t>Manual handling of loads</t>
        </is>
      </c>
      <c r="E204" s="4" t="n">
        <v>0</v>
      </c>
      <c r="F204" s="4" t="n">
        <v>0</v>
      </c>
      <c r="G204" s="4" t="n">
        <v>1</v>
      </c>
      <c r="H204">
        <f>SUM(E204:G204)</f>
        <v/>
      </c>
    </row>
    <row r="205">
      <c r="A205" s="4" t="inlineStr">
        <is>
          <t>FR-EPC</t>
        </is>
      </c>
      <c r="B205" s="4" t="inlineStr">
        <is>
          <t>EPC – subcontractor &amp; logistics</t>
        </is>
      </c>
      <c r="C205" s="4" t="inlineStr">
        <is>
          <t>Equipement de protection individuel et collectif</t>
        </is>
      </c>
      <c r="D205" s="4" t="inlineStr">
        <is>
          <t>Personal and collective protective equipment</t>
        </is>
      </c>
      <c r="E205" s="4" t="n">
        <v>0</v>
      </c>
      <c r="F205" s="4" t="n">
        <v>0</v>
      </c>
      <c r="G205" s="4" t="n">
        <v>1</v>
      </c>
      <c r="H205">
        <f>SUM(E205:G205)</f>
        <v/>
      </c>
    </row>
    <row r="206">
      <c r="A206" s="4" t="inlineStr">
        <is>
          <t>FR-EPC</t>
        </is>
      </c>
      <c r="B206" s="4" t="inlineStr">
        <is>
          <t>EPC – subcontractor &amp; logistics</t>
        </is>
      </c>
      <c r="C206" s="4" t="inlineStr">
        <is>
          <t>Travail en hauteur</t>
        </is>
      </c>
      <c r="D206" s="4" t="inlineStr">
        <is>
          <t>Work at height</t>
        </is>
      </c>
      <c r="E206" s="4" t="n">
        <v>0</v>
      </c>
      <c r="F206" s="4" t="n">
        <v>0</v>
      </c>
      <c r="G206" s="4" t="n">
        <v>1</v>
      </c>
      <c r="H206">
        <f>SUM(E206:G206)</f>
        <v/>
      </c>
    </row>
    <row r="207">
      <c r="A207" s="4" t="inlineStr">
        <is>
          <t>FR-EPC</t>
        </is>
      </c>
      <c r="B207" s="4" t="inlineStr">
        <is>
          <t>EPC – subcontractor &amp; logistics</t>
        </is>
      </c>
      <c r="C207" s="4" t="inlineStr">
        <is>
          <t>Sécurité Routière</t>
        </is>
      </c>
      <c r="D207" s="4" t="inlineStr">
        <is>
          <t>Road Safety</t>
        </is>
      </c>
      <c r="E207" s="4" t="n">
        <v>0</v>
      </c>
      <c r="F207" s="4" t="n">
        <v>0</v>
      </c>
      <c r="G207" s="4" t="n">
        <v>1</v>
      </c>
      <c r="H207">
        <f>SUM(E207:G207)</f>
        <v/>
      </c>
    </row>
    <row r="208">
      <c r="A208" s="4" t="inlineStr">
        <is>
          <t>FR-EPC</t>
        </is>
      </c>
      <c r="B208" s="4" t="inlineStr">
        <is>
          <t>EPC – subcontractor &amp; logistics</t>
        </is>
      </c>
      <c r="C208" s="4" t="inlineStr">
        <is>
          <t>Travail par point chaud</t>
        </is>
      </c>
      <c r="D208" s="4" t="inlineStr">
        <is>
          <t>Hot work</t>
        </is>
      </c>
      <c r="E208" s="4" t="n">
        <v>0</v>
      </c>
      <c r="F208" s="4" t="n">
        <v>0</v>
      </c>
      <c r="G208" s="4" t="n">
        <v>1</v>
      </c>
      <c r="H208">
        <f>SUM(E208:G208)</f>
        <v/>
      </c>
    </row>
    <row r="209">
      <c r="A209" s="4" t="inlineStr">
        <is>
          <t>FR-EPC</t>
        </is>
      </c>
      <c r="B209" s="4" t="inlineStr">
        <is>
          <t>EPC – subcontractor &amp; logistics</t>
        </is>
      </c>
      <c r="C209" s="4" t="inlineStr">
        <is>
          <t>Chute d'objets</t>
        </is>
      </c>
      <c r="D209" s="4" t="inlineStr">
        <is>
          <t>Falling objects</t>
        </is>
      </c>
      <c r="E209" s="4" t="n">
        <v>0</v>
      </c>
      <c r="F209" s="4" t="n">
        <v>0</v>
      </c>
      <c r="G209" s="4" t="n">
        <v>1</v>
      </c>
      <c r="H209">
        <f>SUM(E209:G209)</f>
        <v/>
      </c>
    </row>
    <row r="210">
      <c r="A210" s="4" t="inlineStr">
        <is>
          <t>FR-EPC</t>
        </is>
      </c>
      <c r="B210" s="4" t="inlineStr">
        <is>
          <t>EPC – subcontractor &amp; logistics</t>
        </is>
      </c>
      <c r="C210" s="4" t="inlineStr">
        <is>
          <t>Risque électrique</t>
        </is>
      </c>
      <c r="D210" s="4" t="inlineStr">
        <is>
          <t>Electrical risk</t>
        </is>
      </c>
      <c r="E210" s="4" t="n">
        <v>0</v>
      </c>
      <c r="F210" s="4" t="n">
        <v>0</v>
      </c>
      <c r="G210" s="4" t="n">
        <v>1</v>
      </c>
      <c r="H210">
        <f>SUM(E210:G210)</f>
        <v/>
      </c>
    </row>
    <row r="211">
      <c r="A211" s="4" t="inlineStr">
        <is>
          <t>FR-EPC</t>
        </is>
      </c>
      <c r="B211" s="4" t="inlineStr">
        <is>
          <t>EPC – subcontractor &amp; logistics</t>
        </is>
      </c>
      <c r="C211" s="4" t="inlineStr">
        <is>
          <t>Travail manuel (outils à main et électro-portatif)</t>
        </is>
      </c>
      <c r="D211" s="4" t="inlineStr">
        <is>
          <t>Manual work (hand tools and portable power tools)</t>
        </is>
      </c>
      <c r="E211" s="4" t="n">
        <v>0</v>
      </c>
      <c r="F211" s="4" t="n">
        <v>0</v>
      </c>
      <c r="G211" s="4" t="n">
        <v>1</v>
      </c>
      <c r="H211">
        <f>SUM(E211:G211)</f>
        <v/>
      </c>
    </row>
    <row r="212">
      <c r="A212" s="4" t="inlineStr">
        <is>
          <t>FR-EPC</t>
        </is>
      </c>
      <c r="B212" s="4" t="inlineStr">
        <is>
          <t>EPC – subcontractor &amp; logistics</t>
        </is>
      </c>
      <c r="C212" s="4" t="inlineStr">
        <is>
          <t>Chute de plain pied</t>
        </is>
      </c>
      <c r="D212" s="4" t="inlineStr">
        <is>
          <t>Slips, trips and falls on the same level</t>
        </is>
      </c>
      <c r="E212" s="4" t="n">
        <v>0</v>
      </c>
      <c r="F212" s="4" t="n">
        <v>0</v>
      </c>
      <c r="G212" s="4" t="n">
        <v>1</v>
      </c>
      <c r="H212">
        <f>SUM(E212:G212)</f>
        <v/>
      </c>
    </row>
    <row r="213">
      <c r="A213" s="4" t="inlineStr">
        <is>
          <t>FR-EPC</t>
        </is>
      </c>
      <c r="B213" s="4" t="inlineStr">
        <is>
          <t>EPC – subcontractor &amp; logistics</t>
        </is>
      </c>
      <c r="C213" s="4" t="inlineStr">
        <is>
          <t>Consignation Electrique</t>
        </is>
      </c>
      <c r="D213" s="4" t="inlineStr">
        <is>
          <t>Electrical Lockout/Tagout</t>
        </is>
      </c>
      <c r="E213" s="4" t="n">
        <v>0</v>
      </c>
      <c r="F213" s="4" t="n">
        <v>0</v>
      </c>
      <c r="G213" s="4" t="n">
        <v>1</v>
      </c>
      <c r="H213">
        <f>SUM(E213:G213)</f>
        <v/>
      </c>
    </row>
    <row r="214">
      <c r="A214" s="4" t="inlineStr">
        <is>
          <t>FR-EPC</t>
        </is>
      </c>
      <c r="B214" s="4" t="inlineStr">
        <is>
          <t>EPC – subcontractor &amp; logistics</t>
        </is>
      </c>
      <c r="C214" s="4" t="inlineStr">
        <is>
          <t>Co-activité sur chantier</t>
        </is>
      </c>
      <c r="D214" s="4" t="inlineStr">
        <is>
          <t>Co-activity on the worksite</t>
        </is>
      </c>
      <c r="E214" s="4" t="n">
        <v>0</v>
      </c>
      <c r="F214" s="4" t="n">
        <v>0</v>
      </c>
      <c r="G214" s="4" t="n">
        <v>1</v>
      </c>
      <c r="H214">
        <f>SUM(E214:G214)</f>
        <v/>
      </c>
    </row>
    <row r="215">
      <c r="A215" s="4" t="inlineStr">
        <is>
          <t>GR-ATH</t>
        </is>
      </c>
      <c r="B215" s="4" t="inlineStr">
        <is>
          <t>Athens Office</t>
        </is>
      </c>
      <c r="C215" s="4" t="inlineStr">
        <is>
          <t>Electrical Installation &amp; Specific Risks</t>
        </is>
      </c>
      <c r="D215" s="4" t="inlineStr">
        <is>
          <t>Electrical Installation &amp; Specific Risks</t>
        </is>
      </c>
      <c r="E215" s="4" t="n">
        <v>1</v>
      </c>
      <c r="F215" s="4" t="n">
        <v>0</v>
      </c>
      <c r="G215" s="4" t="n">
        <v>0</v>
      </c>
      <c r="H215">
        <f>SUM(E215:G215)</f>
        <v/>
      </c>
    </row>
    <row r="216">
      <c r="A216" s="4" t="inlineStr">
        <is>
          <t>GR-ATH</t>
        </is>
      </c>
      <c r="B216" s="4" t="inlineStr">
        <is>
          <t>Athens Office</t>
        </is>
      </c>
      <c r="C216" s="4" t="inlineStr">
        <is>
          <t>Emergency Management, Fire Safety &amp; First Aid</t>
        </is>
      </c>
      <c r="D216" s="4" t="inlineStr">
        <is>
          <t>Emergency Management, Fire Safety &amp; First Aid</t>
        </is>
      </c>
      <c r="E216" s="4" t="n">
        <v>3</v>
      </c>
      <c r="F216" s="4" t="n">
        <v>3</v>
      </c>
      <c r="G216" s="4" t="n">
        <v>3</v>
      </c>
      <c r="H216">
        <f>SUM(E216:G216)</f>
        <v/>
      </c>
    </row>
    <row r="217">
      <c r="A217" s="4" t="inlineStr">
        <is>
          <t>GR-ATH</t>
        </is>
      </c>
      <c r="B217" s="4" t="inlineStr">
        <is>
          <t>Athens Office</t>
        </is>
      </c>
      <c r="C217" s="4" t="inlineStr">
        <is>
          <t>Ergonomics &amp; Working Conditions</t>
        </is>
      </c>
      <c r="D217" s="4" t="inlineStr">
        <is>
          <t>Ergonomics &amp; Working Conditions</t>
        </is>
      </c>
      <c r="E217" s="4" t="n">
        <v>4</v>
      </c>
      <c r="F217" s="4" t="n">
        <v>0</v>
      </c>
      <c r="G217" s="4" t="n">
        <v>0</v>
      </c>
      <c r="H217">
        <f>SUM(E217:G217)</f>
        <v/>
      </c>
    </row>
    <row r="218">
      <c r="A218" s="4" t="inlineStr">
        <is>
          <t>GR-ATH</t>
        </is>
      </c>
      <c r="B218" s="4" t="inlineStr">
        <is>
          <t>Athens Office</t>
        </is>
      </c>
      <c r="C218" s="4" t="inlineStr">
        <is>
          <t>Risk Assessment &amp; OSH Organisation</t>
        </is>
      </c>
      <c r="D218" s="4" t="inlineStr">
        <is>
          <t>Risk Assessment &amp; OSH Organisation</t>
        </is>
      </c>
      <c r="E218" s="4" t="n">
        <v>0</v>
      </c>
      <c r="F218" s="4" t="n">
        <v>2</v>
      </c>
      <c r="G218" s="4" t="n">
        <v>6</v>
      </c>
      <c r="H218">
        <f>SUM(E218:G218)</f>
        <v/>
      </c>
    </row>
    <row r="219">
      <c r="A219" s="4" t="inlineStr">
        <is>
          <t>GR-ATH</t>
        </is>
      </c>
      <c r="B219" s="4" t="inlineStr">
        <is>
          <t>Athens Office</t>
        </is>
      </c>
      <c r="C219" s="4" t="inlineStr">
        <is>
          <t>Visitors &amp; External Contractors</t>
        </is>
      </c>
      <c r="D219" s="4" t="inlineStr">
        <is>
          <t>Visitors &amp; External Contractors</t>
        </is>
      </c>
      <c r="E219" s="4" t="n">
        <v>0</v>
      </c>
      <c r="F219" s="4" t="n">
        <v>1</v>
      </c>
      <c r="G219" s="4" t="n">
        <v>1</v>
      </c>
      <c r="H219">
        <f>SUM(E219:G219)</f>
        <v/>
      </c>
    </row>
    <row r="220">
      <c r="A220" s="4" t="inlineStr">
        <is>
          <t>GR-ATH</t>
        </is>
      </c>
      <c r="B220" s="4" t="inlineStr">
        <is>
          <t>Athens Office</t>
        </is>
      </c>
      <c r="C220" s="4" t="inlineStr">
        <is>
          <t>Housekeeping, Welfare &amp; Facilities</t>
        </is>
      </c>
      <c r="D220" s="4" t="inlineStr">
        <is>
          <t>Housekeeping, Welfare &amp; Facilities</t>
        </is>
      </c>
      <c r="E220" s="4" t="n">
        <v>1</v>
      </c>
      <c r="F220" s="4" t="n">
        <v>0</v>
      </c>
      <c r="G220" s="4" t="n">
        <v>0</v>
      </c>
      <c r="H220">
        <f>SUM(E220:G220)</f>
        <v/>
      </c>
    </row>
    <row r="221">
      <c r="A221" s="4" t="inlineStr">
        <is>
          <t>GR-ATH</t>
        </is>
      </c>
      <c r="B221" s="4" t="inlineStr">
        <is>
          <t>Athens Office</t>
        </is>
      </c>
      <c r="C221" s="4" t="inlineStr">
        <is>
          <t>Occupational Physician &amp; Health Surveillance</t>
        </is>
      </c>
      <c r="D221" s="4" t="inlineStr">
        <is>
          <t>Occupational Physician &amp; Health Surveillance</t>
        </is>
      </c>
      <c r="E221" s="4" t="n">
        <v>0</v>
      </c>
      <c r="F221" s="4" t="n">
        <v>1</v>
      </c>
      <c r="G221" s="4" t="n">
        <v>0</v>
      </c>
      <c r="H221">
        <f>SUM(E221:G221)</f>
        <v/>
      </c>
    </row>
    <row r="222">
      <c r="A222" s="4" t="inlineStr">
        <is>
          <t>GR-ATH</t>
        </is>
      </c>
      <c r="B222" s="4" t="inlineStr">
        <is>
          <t>Athens Office</t>
        </is>
      </c>
      <c r="C222" s="4" t="inlineStr">
        <is>
          <t>Psychosocial Risks &amp; Telework</t>
        </is>
      </c>
      <c r="D222" s="4" t="inlineStr">
        <is>
          <t>Psychosocial Risks &amp; Telework</t>
        </is>
      </c>
      <c r="E222" s="4" t="n">
        <v>0</v>
      </c>
      <c r="F222" s="4" t="n">
        <v>1</v>
      </c>
      <c r="G222" s="4" t="n">
        <v>0</v>
      </c>
      <c r="H222">
        <f>SUM(E222:G222)</f>
        <v/>
      </c>
    </row>
    <row r="223">
      <c r="A223" s="4" t="inlineStr">
        <is>
          <t>IT-BUC</t>
        </is>
      </c>
      <c r="B223" s="4" t="inlineStr">
        <is>
          <t>Buccinasco Office (HQ)</t>
        </is>
      </c>
      <c r="C223" s="4" t="inlineStr">
        <is>
          <t>Agibilità e licenza d'uso</t>
        </is>
      </c>
      <c r="D223" s="4" t="inlineStr">
        <is>
          <t>Building fitness for use and occupancy permit</t>
        </is>
      </c>
      <c r="E223" s="4" t="n">
        <v>3</v>
      </c>
      <c r="F223" s="4" t="n">
        <v>0</v>
      </c>
      <c r="G223" s="4" t="n">
        <v>0</v>
      </c>
      <c r="H223">
        <f>SUM(E223:G223)</f>
        <v/>
      </c>
    </row>
    <row r="224">
      <c r="A224" s="4" t="inlineStr">
        <is>
          <t>IT-BUC</t>
        </is>
      </c>
      <c r="B224" s="4" t="inlineStr">
        <is>
          <t>Buccinasco Office (HQ)</t>
        </is>
      </c>
      <c r="C224" s="4" t="inlineStr">
        <is>
          <t>Impianti tecnici — certificazioni e conformità</t>
        </is>
      </c>
      <c r="D224" s="4" t="inlineStr">
        <is>
          <t>Technical installations — certifications and compliance</t>
        </is>
      </c>
      <c r="E224" s="4" t="n">
        <v>2</v>
      </c>
      <c r="F224" s="4" t="n">
        <v>0</v>
      </c>
      <c r="G224" s="4" t="n">
        <v>1</v>
      </c>
      <c r="H224">
        <f>SUM(E224:G224)</f>
        <v/>
      </c>
    </row>
    <row r="225">
      <c r="A225" s="4" t="inlineStr">
        <is>
          <t>IT-BUC</t>
        </is>
      </c>
      <c r="B225" s="4" t="inlineStr">
        <is>
          <t>Buccinasco Office (HQ)</t>
        </is>
      </c>
      <c r="C225" s="4" t="inlineStr">
        <is>
          <t>Valutazione dei rischi</t>
        </is>
      </c>
      <c r="D225" s="4" t="inlineStr">
        <is>
          <t>Risk assessment</t>
        </is>
      </c>
      <c r="E225" s="4" t="n">
        <v>4</v>
      </c>
      <c r="F225" s="4" t="n">
        <v>0</v>
      </c>
      <c r="G225" s="4" t="n">
        <v>0</v>
      </c>
      <c r="H225">
        <f>SUM(E225:G225)</f>
        <v/>
      </c>
    </row>
    <row r="226">
      <c r="A226" s="4" t="inlineStr">
        <is>
          <t>IT-BUC</t>
        </is>
      </c>
      <c r="B226" s="4" t="inlineStr">
        <is>
          <t>Buccinasco Office (HQ)</t>
        </is>
      </c>
      <c r="C226" s="4" t="inlineStr">
        <is>
          <t>Ergonomia e videoterminali (VDT)</t>
        </is>
      </c>
      <c r="D226" s="4" t="inlineStr">
        <is>
          <t>Ergonomics and display screen equipment (VDT)</t>
        </is>
      </c>
      <c r="E226" s="4" t="n">
        <v>2</v>
      </c>
      <c r="F226" s="4" t="n">
        <v>2</v>
      </c>
      <c r="G226" s="4" t="n">
        <v>0</v>
      </c>
      <c r="H226">
        <f>SUM(E226:G226)</f>
        <v/>
      </c>
    </row>
    <row r="227">
      <c r="A227" s="4" t="inlineStr">
        <is>
          <t>IT-BUC</t>
        </is>
      </c>
      <c r="B227" s="4" t="inlineStr">
        <is>
          <t>Buccinasco Office (HQ)</t>
        </is>
      </c>
      <c r="C227" s="4" t="inlineStr">
        <is>
          <t>Sicurezza elettrica</t>
        </is>
      </c>
      <c r="D227" s="4" t="inlineStr">
        <is>
          <t>Electrical safety</t>
        </is>
      </c>
      <c r="E227" s="4" t="n">
        <v>1</v>
      </c>
      <c r="F227" s="4" t="n">
        <v>1</v>
      </c>
      <c r="G227" s="4" t="n">
        <v>0</v>
      </c>
      <c r="H227">
        <f>SUM(E227:G227)</f>
        <v/>
      </c>
    </row>
    <row r="228">
      <c r="A228" s="4" t="inlineStr">
        <is>
          <t>IT-BUC</t>
        </is>
      </c>
      <c r="B228" s="4" t="inlineStr">
        <is>
          <t>Buccinasco Office (HQ)</t>
        </is>
      </c>
      <c r="C228" s="4" t="inlineStr">
        <is>
          <t>Segnaletica di sicurezza</t>
        </is>
      </c>
      <c r="D228" s="4" t="inlineStr">
        <is>
          <t>Safety signage</t>
        </is>
      </c>
      <c r="E228" s="4" t="n">
        <v>2</v>
      </c>
      <c r="F228" s="4" t="n">
        <v>0</v>
      </c>
      <c r="G228" s="4" t="n">
        <v>0</v>
      </c>
      <c r="H228">
        <f>SUM(E228:G228)</f>
        <v/>
      </c>
    </row>
    <row r="229">
      <c r="A229" s="4" t="inlineStr">
        <is>
          <t>IT-BUC</t>
        </is>
      </c>
      <c r="B229" s="4" t="inlineStr">
        <is>
          <t>Buccinasco Office (HQ)</t>
        </is>
      </c>
      <c r="C229" s="4" t="inlineStr">
        <is>
          <t>Gestione delle emergenze e prevenzione incendi</t>
        </is>
      </c>
      <c r="D229" s="4" t="inlineStr">
        <is>
          <t>Emergency management and fire prevention</t>
        </is>
      </c>
      <c r="E229" s="4" t="n">
        <v>4</v>
      </c>
      <c r="F229" s="4" t="n">
        <v>2</v>
      </c>
      <c r="G229" s="4" t="n">
        <v>0</v>
      </c>
      <c r="H229">
        <f>SUM(E229:G229)</f>
        <v/>
      </c>
    </row>
    <row r="230">
      <c r="A230" s="4" t="inlineStr">
        <is>
          <t>IT-BUC</t>
        </is>
      </c>
      <c r="B230" s="4" t="inlineStr">
        <is>
          <t>Buccinasco Office (HQ)</t>
        </is>
      </c>
      <c r="C230" s="4" t="inlineStr">
        <is>
          <t>Organizzazione SSL</t>
        </is>
      </c>
      <c r="D230" s="4" t="inlineStr">
        <is>
          <t>OHS organisation</t>
        </is>
      </c>
      <c r="E230" s="4" t="n">
        <v>5</v>
      </c>
      <c r="F230" s="4" t="n">
        <v>0</v>
      </c>
      <c r="G230" s="4" t="n">
        <v>0</v>
      </c>
      <c r="H230">
        <f>SUM(E230:G230)</f>
        <v/>
      </c>
    </row>
    <row r="231">
      <c r="A231" s="4" t="inlineStr">
        <is>
          <t>IT-BUC</t>
        </is>
      </c>
      <c r="B231" s="4" t="inlineStr">
        <is>
          <t>Buccinasco Office (HQ)</t>
        </is>
      </c>
      <c r="C231" s="4" t="inlineStr">
        <is>
          <t>Formazione e informazione</t>
        </is>
      </c>
      <c r="D231" s="4" t="inlineStr">
        <is>
          <t>Training and information</t>
        </is>
      </c>
      <c r="E231" s="4" t="n">
        <v>1</v>
      </c>
      <c r="F231" s="4" t="n">
        <v>1</v>
      </c>
      <c r="G231" s="4" t="n">
        <v>0</v>
      </c>
      <c r="H231">
        <f>SUM(E231:G231)</f>
        <v/>
      </c>
    </row>
    <row r="232">
      <c r="A232" s="4" t="inlineStr">
        <is>
          <t>IT-BUC</t>
        </is>
      </c>
      <c r="B232" s="4" t="inlineStr">
        <is>
          <t>Buccinasco Office (HQ)</t>
        </is>
      </c>
      <c r="C232" s="4" t="inlineStr">
        <is>
          <t>Luoghi di lavoro, smart working e tutela dei dati</t>
        </is>
      </c>
      <c r="D232" s="4" t="inlineStr">
        <is>
          <t>Workplaces, smart working and data protection</t>
        </is>
      </c>
      <c r="E232" s="4" t="n">
        <v>2</v>
      </c>
      <c r="F232" s="4" t="n">
        <v>1</v>
      </c>
      <c r="G232" s="4" t="n">
        <v>0</v>
      </c>
      <c r="H232">
        <f>SUM(E232:G232)</f>
        <v/>
      </c>
    </row>
    <row r="233">
      <c r="A233" s="4" t="inlineStr">
        <is>
          <t>IT-BUC</t>
        </is>
      </c>
      <c r="B233" s="4" t="inlineStr">
        <is>
          <t>Buccinasco Office (HQ)</t>
        </is>
      </c>
      <c r="C233" s="4" t="inlineStr">
        <is>
          <t>Monitoraggio, DPI e obblighi di registrazione</t>
        </is>
      </c>
      <c r="D233" s="4" t="inlineStr">
        <is>
          <t>Monitoring, PPE and recording obligations</t>
        </is>
      </c>
      <c r="E233" s="4" t="n">
        <v>3</v>
      </c>
      <c r="F233" s="4" t="n">
        <v>1</v>
      </c>
      <c r="G233" s="4" t="n">
        <v>0</v>
      </c>
      <c r="H233">
        <f>SUM(E233:G233)</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9" customWidth="1" min="1" max="1"/>
    <col width="36" customWidth="1" min="2" max="2"/>
    <col width="11" customWidth="1" min="3" max="3"/>
    <col width="12" customWidth="1" min="4" max="4"/>
    <col width="13" customWidth="1" min="5" max="5"/>
    <col width="11" customWidth="1" min="6" max="6"/>
    <col width="12" customWidth="1" min="7" max="7"/>
  </cols>
  <sheetData>
    <row r="1">
      <c r="A1" s="1" t="inlineStr">
        <is>
          <t>Site-visit report · compliance dots per site</t>
        </is>
      </c>
    </row>
    <row r="4">
      <c r="A4" s="3" t="inlineStr">
        <is>
          <t>Site ID</t>
        </is>
      </c>
      <c r="B4" s="3" t="inlineStr">
        <is>
          <t>Site</t>
        </is>
      </c>
      <c r="C4" s="3" t="inlineStr">
        <is>
          <t>Compliant</t>
        </is>
      </c>
      <c r="D4" s="3" t="inlineStr">
        <is>
          <t>Partially compliant</t>
        </is>
      </c>
      <c r="E4" s="3" t="inlineStr">
        <is>
          <t>Non-compliant</t>
        </is>
      </c>
      <c r="F4" s="3" t="inlineStr">
        <is>
          <t>Not assessed</t>
        </is>
      </c>
      <c r="G4" s="3" t="inlineStr">
        <is>
          <t>Key activities</t>
        </is>
      </c>
    </row>
    <row r="5">
      <c r="A5" s="4" t="inlineStr">
        <is>
          <t>ES-VIT</t>
        </is>
      </c>
      <c r="B5" s="4" t="inlineStr">
        <is>
          <t>Vitoria Factory</t>
        </is>
      </c>
      <c r="C5" s="4" t="n">
        <v>1</v>
      </c>
      <c r="D5" s="4" t="n">
        <v>7</v>
      </c>
      <c r="E5" s="4" t="n">
        <v>6</v>
      </c>
      <c r="F5" s="4" t="n">
        <v>1</v>
      </c>
      <c r="G5" s="4">
        <f>SUM(C5:F5)</f>
        <v/>
      </c>
    </row>
    <row r="6">
      <c r="A6" s="4" t="inlineStr">
        <is>
          <t>ES-MEC</t>
        </is>
      </c>
      <c r="B6" s="4" t="inlineStr">
        <is>
          <t>Meco Warehouse</t>
        </is>
      </c>
      <c r="C6" s="4" t="n">
        <v>4</v>
      </c>
      <c r="D6" s="4" t="n">
        <v>5</v>
      </c>
      <c r="E6" s="4" t="n">
        <v>4</v>
      </c>
      <c r="F6" s="4" t="n">
        <v>0</v>
      </c>
      <c r="G6" s="4">
        <f>SUM(C6:F6)</f>
        <v/>
      </c>
    </row>
    <row r="7">
      <c r="A7" s="4" t="inlineStr">
        <is>
          <t>ES-SEV</t>
        </is>
      </c>
      <c r="B7" s="4" t="inlineStr">
        <is>
          <t>Sevilla Warehouse</t>
        </is>
      </c>
      <c r="C7" s="4" t="n">
        <v>2</v>
      </c>
      <c r="D7" s="4" t="n">
        <v>6</v>
      </c>
      <c r="E7" s="4" t="n">
        <v>4</v>
      </c>
      <c r="F7" s="4" t="n">
        <v>0</v>
      </c>
      <c r="G7" s="4">
        <f>SUM(C7:F7)</f>
        <v/>
      </c>
    </row>
    <row r="8">
      <c r="A8" s="4" t="inlineStr">
        <is>
          <t>ES-VAL</t>
        </is>
      </c>
      <c r="B8" s="4" t="inlineStr">
        <is>
          <t>Valencia Warehouse</t>
        </is>
      </c>
      <c r="C8" s="4" t="n">
        <v>2</v>
      </c>
      <c r="D8" s="4" t="n">
        <v>6</v>
      </c>
      <c r="E8" s="4" t="n">
        <v>4</v>
      </c>
      <c r="F8" s="4" t="n">
        <v>0</v>
      </c>
      <c r="G8" s="4">
        <f>SUM(C8:F8)</f>
        <v/>
      </c>
    </row>
    <row r="9">
      <c r="A9" s="4" t="inlineStr">
        <is>
          <t>ES-BUR</t>
        </is>
      </c>
      <c r="B9" s="4" t="inlineStr">
        <is>
          <t>Burgos Warehouse</t>
        </is>
      </c>
      <c r="C9" s="4" t="n">
        <v>2</v>
      </c>
      <c r="D9" s="4" t="n">
        <v>8</v>
      </c>
      <c r="E9" s="4" t="n">
        <v>1</v>
      </c>
      <c r="F9" s="4" t="n">
        <v>2</v>
      </c>
      <c r="G9" s="4">
        <f>SUM(C9:F9)</f>
        <v/>
      </c>
    </row>
    <row r="10">
      <c r="A10" s="4" t="inlineStr">
        <is>
          <t>ES-AND</t>
        </is>
      </c>
      <c r="B10" s="4" t="inlineStr">
        <is>
          <t>Andoain Warehouse</t>
        </is>
      </c>
      <c r="C10" s="4" t="n">
        <v>1</v>
      </c>
      <c r="D10" s="4" t="n">
        <v>5</v>
      </c>
      <c r="E10" s="4" t="n">
        <v>5</v>
      </c>
      <c r="F10" s="4" t="n">
        <v>0</v>
      </c>
      <c r="G10" s="4">
        <f>SUM(C10:F10)</f>
        <v/>
      </c>
    </row>
    <row r="11">
      <c r="A11" s="4" t="inlineStr">
        <is>
          <t>ES-MAD</t>
        </is>
      </c>
      <c r="B11" s="4" t="inlineStr">
        <is>
          <t>Madrid Office</t>
        </is>
      </c>
      <c r="C11" s="4" t="n">
        <v>2</v>
      </c>
      <c r="D11" s="4" t="n">
        <v>3</v>
      </c>
      <c r="E11" s="4" t="n">
        <v>1</v>
      </c>
      <c r="F11" s="4" t="n">
        <v>0</v>
      </c>
      <c r="G11" s="4">
        <f>SUM(C11:F11)</f>
        <v/>
      </c>
    </row>
    <row r="12">
      <c r="A12" s="4" t="inlineStr">
        <is>
          <t>ES-ACO</t>
        </is>
      </c>
      <c r="B12" s="4" t="inlineStr">
        <is>
          <t>A Coruña – Repsol in-house warehouse</t>
        </is>
      </c>
      <c r="C12" s="4" t="n">
        <v>3</v>
      </c>
      <c r="D12" s="4" t="n">
        <v>1</v>
      </c>
      <c r="E12" s="4" t="n">
        <v>0</v>
      </c>
      <c r="F12" s="4" t="n">
        <v>0</v>
      </c>
      <c r="G12" s="4">
        <f>SUM(C12:F12)</f>
        <v/>
      </c>
    </row>
    <row r="13">
      <c r="A13" s="4" t="inlineStr">
        <is>
          <t>PT-AVE</t>
        </is>
      </c>
      <c r="B13" s="4" t="inlineStr">
        <is>
          <t>Aveiro Office</t>
        </is>
      </c>
      <c r="C13" s="4" t="n">
        <v>8</v>
      </c>
      <c r="D13" s="4" t="n">
        <v>8</v>
      </c>
      <c r="E13" s="4" t="n">
        <v>8</v>
      </c>
      <c r="F13" s="4" t="n">
        <v>0</v>
      </c>
      <c r="G13" s="4">
        <f>SUM(C13:F13)</f>
        <v/>
      </c>
    </row>
    <row r="14">
      <c r="A14" s="4" t="inlineStr">
        <is>
          <t>MX-MTY</t>
        </is>
      </c>
      <c r="B14" s="4" t="inlineStr">
        <is>
          <t>Monterrey Warehouse (owned)</t>
        </is>
      </c>
      <c r="C14" s="4" t="n">
        <v>8</v>
      </c>
      <c r="D14" s="4" t="n">
        <v>10</v>
      </c>
      <c r="E14" s="4" t="n">
        <v>1</v>
      </c>
      <c r="F14" s="4" t="n">
        <v>1</v>
      </c>
      <c r="G14" s="4">
        <f>SUM(C14:F14)</f>
        <v/>
      </c>
    </row>
    <row r="15">
      <c r="A15" s="4" t="inlineStr">
        <is>
          <t>MX-CDMX</t>
        </is>
      </c>
      <c r="B15" s="4" t="inlineStr">
        <is>
          <t>CDMX Office</t>
        </is>
      </c>
      <c r="C15" s="4" t="n">
        <v>7</v>
      </c>
      <c r="D15" s="4" t="n">
        <v>6</v>
      </c>
      <c r="E15" s="4" t="n">
        <v>0</v>
      </c>
      <c r="F15" s="4" t="n">
        <v>0</v>
      </c>
      <c r="G15" s="4">
        <f>SUM(C15:F15)</f>
        <v/>
      </c>
    </row>
    <row r="16">
      <c r="A16" s="4" t="inlineStr">
        <is>
          <t>MX-INO</t>
        </is>
      </c>
      <c r="B16" s="4" t="inlineStr">
        <is>
          <t>EPC INOAC</t>
        </is>
      </c>
      <c r="C16" s="4" t="n">
        <v>5</v>
      </c>
      <c r="D16" s="4" t="n">
        <v>4</v>
      </c>
      <c r="E16" s="4" t="n">
        <v>0</v>
      </c>
      <c r="F16" s="4" t="n">
        <v>0</v>
      </c>
      <c r="G16" s="4">
        <f>SUM(C16:F16)</f>
        <v/>
      </c>
    </row>
    <row r="17">
      <c r="A17" s="4" t="inlineStr">
        <is>
          <t>MX-IBE</t>
        </is>
      </c>
      <c r="B17" s="4" t="inlineStr">
        <is>
          <t>Iberdrola in-house warehouse</t>
        </is>
      </c>
      <c r="C17" s="4" t="n">
        <v>1</v>
      </c>
      <c r="D17" s="4" t="n">
        <v>8</v>
      </c>
      <c r="E17" s="4" t="n">
        <v>2</v>
      </c>
      <c r="F17" s="4" t="n">
        <v>0</v>
      </c>
      <c r="G17" s="4">
        <f>SUM(C17:F17)</f>
        <v/>
      </c>
    </row>
    <row r="18">
      <c r="A18" s="4" t="inlineStr">
        <is>
          <t>MX-BRA</t>
        </is>
      </c>
      <c r="B18" s="4" t="inlineStr">
        <is>
          <t>Braskem in-house warehouse</t>
        </is>
      </c>
      <c r="C18" s="4" t="n">
        <v>6</v>
      </c>
      <c r="D18" s="4" t="n">
        <v>4</v>
      </c>
      <c r="E18" s="4" t="n">
        <v>1</v>
      </c>
      <c r="F18" s="4" t="n">
        <v>0</v>
      </c>
      <c r="G18" s="4">
        <f>SUM(C18:F18)</f>
        <v/>
      </c>
    </row>
    <row r="19">
      <c r="A19" s="4" t="inlineStr">
        <is>
          <t>MX-ALT</t>
        </is>
      </c>
      <c r="B19" s="4" t="inlineStr">
        <is>
          <t>Altamira – Quantum warehouse &amp; services</t>
        </is>
      </c>
      <c r="C19" s="4" t="n">
        <v>0</v>
      </c>
      <c r="D19" s="4" t="n">
        <v>0</v>
      </c>
      <c r="E19" s="4" t="n">
        <v>11</v>
      </c>
      <c r="F19" s="4" t="n">
        <v>0</v>
      </c>
      <c r="G19" s="4">
        <f>SUM(C19:F19)</f>
        <v/>
      </c>
    </row>
    <row r="20">
      <c r="A20" s="4" t="inlineStr">
        <is>
          <t>MX-SCH</t>
        </is>
      </c>
      <c r="B20" s="4" t="inlineStr">
        <is>
          <t>Schneider general services (Monterrey)</t>
        </is>
      </c>
      <c r="C20" s="4" t="n">
        <v>1</v>
      </c>
      <c r="D20" s="4" t="n">
        <v>3</v>
      </c>
      <c r="E20" s="4" t="n">
        <v>0</v>
      </c>
      <c r="F20" s="4" t="n">
        <v>0</v>
      </c>
      <c r="G20" s="4">
        <f>SUM(C20:F20)</f>
        <v/>
      </c>
    </row>
    <row r="21">
      <c r="A21" s="4" t="inlineStr">
        <is>
          <t>MX-CHE</t>
        </is>
      </c>
      <c r="B21" s="4" t="inlineStr">
        <is>
          <t>Chetumal general services</t>
        </is>
      </c>
      <c r="C21" s="4" t="n">
        <v>0</v>
      </c>
      <c r="D21" s="4" t="n">
        <v>0</v>
      </c>
      <c r="E21" s="4" t="n">
        <v>4</v>
      </c>
      <c r="F21" s="4" t="n">
        <v>0</v>
      </c>
      <c r="G21" s="4">
        <f>SUM(C21:F21)</f>
        <v/>
      </c>
    </row>
    <row r="22">
      <c r="A22" s="4" t="inlineStr">
        <is>
          <t>CO-EPC</t>
        </is>
      </c>
      <c r="B22" s="4" t="inlineStr">
        <is>
          <t>EPC Solar project</t>
        </is>
      </c>
      <c r="C22" s="4" t="n">
        <v>0</v>
      </c>
      <c r="D22" s="4" t="n">
        <v>8</v>
      </c>
      <c r="E22" s="4" t="n">
        <v>2</v>
      </c>
      <c r="F22" s="4" t="n">
        <v>0</v>
      </c>
      <c r="G22" s="4">
        <f>SUM(C22:F22)</f>
        <v/>
      </c>
    </row>
    <row r="23">
      <c r="A23" s="4" t="inlineStr">
        <is>
          <t>CO-HOM</t>
        </is>
      </c>
      <c r="B23" s="4" t="inlineStr">
        <is>
          <t>Home-office (teleworking)</t>
        </is>
      </c>
      <c r="C23" s="4" t="n">
        <v>0</v>
      </c>
      <c r="D23" s="4" t="n">
        <v>3</v>
      </c>
      <c r="E23" s="4" t="n">
        <v>3</v>
      </c>
      <c r="F23" s="4" t="n">
        <v>0</v>
      </c>
      <c r="G23" s="4">
        <f>SUM(C23:F23)</f>
        <v/>
      </c>
    </row>
    <row r="24">
      <c r="A24" s="4" t="inlineStr">
        <is>
          <t>FR-OFF</t>
        </is>
      </c>
      <c r="B24" s="4" t="inlineStr">
        <is>
          <t>Villeurbanne Office</t>
        </is>
      </c>
      <c r="C24" s="4" t="n">
        <v>0</v>
      </c>
      <c r="D24" s="4" t="n">
        <v>0</v>
      </c>
      <c r="E24" s="4" t="n">
        <v>4</v>
      </c>
      <c r="F24" s="4" t="n">
        <v>0</v>
      </c>
      <c r="G24" s="4">
        <f>SUM(C24:F24)</f>
        <v/>
      </c>
    </row>
    <row r="25">
      <c r="A25" s="4" t="inlineStr">
        <is>
          <t>FR-EPC</t>
        </is>
      </c>
      <c r="B25" s="4" t="inlineStr">
        <is>
          <t>EPC – subcontractor &amp; logistics</t>
        </is>
      </c>
      <c r="C25" s="4" t="n">
        <v>0</v>
      </c>
      <c r="D25" s="4" t="n">
        <v>1</v>
      </c>
      <c r="E25" s="4" t="n">
        <v>15</v>
      </c>
      <c r="F25" s="4" t="n">
        <v>0</v>
      </c>
      <c r="G25" s="4">
        <f>SUM(C25:F25)</f>
        <v/>
      </c>
    </row>
    <row r="26">
      <c r="A26" s="4" t="inlineStr">
        <is>
          <t>GR-ATH</t>
        </is>
      </c>
      <c r="B26" s="4" t="inlineStr">
        <is>
          <t>Athens Office</t>
        </is>
      </c>
      <c r="C26" s="4" t="n">
        <v>3</v>
      </c>
      <c r="D26" s="4" t="n">
        <v>4</v>
      </c>
      <c r="E26" s="4" t="n">
        <v>1</v>
      </c>
      <c r="F26" s="4" t="n">
        <v>0</v>
      </c>
      <c r="G26" s="4">
        <f>SUM(C26:F26)</f>
        <v/>
      </c>
    </row>
    <row r="27">
      <c r="A27" s="4" t="inlineStr">
        <is>
          <t>IT-BUC</t>
        </is>
      </c>
      <c r="B27" s="4" t="inlineStr">
        <is>
          <t>Buccinasco Office (HQ)</t>
        </is>
      </c>
      <c r="C27" s="4" t="n">
        <v>5</v>
      </c>
      <c r="D27" s="4" t="n">
        <v>6</v>
      </c>
      <c r="E27" s="4" t="n">
        <v>0</v>
      </c>
      <c r="F27" s="4" t="n">
        <v>1</v>
      </c>
      <c r="G27" s="4">
        <f>SUM(C27:F27)</f>
        <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E169"/>
  <sheetViews>
    <sheetView workbookViewId="0">
      <selection activeCell="A1" sqref="A1"/>
    </sheetView>
  </sheetViews>
  <sheetFormatPr baseColWidth="8" defaultRowHeight="15"/>
  <cols>
    <col width="16" customWidth="1" min="1" max="1"/>
    <col width="12" customWidth="1" min="2" max="2"/>
    <col width="18" customWidth="1" min="3" max="3"/>
    <col width="14" customWidth="1" min="4" max="4"/>
    <col width="9" customWidth="1" min="5" max="5"/>
  </cols>
  <sheetData>
    <row r="1">
      <c r="A1" s="1" t="inlineStr">
        <is>
          <t>Compliance status per criticality of business · per cluster (deck)</t>
        </is>
      </c>
    </row>
    <row r="2">
      <c r="A2" s="2" t="inlineStr">
        <is>
          <t>Global deck pp.14–19.</t>
        </is>
      </c>
    </row>
    <row r="4">
      <c r="A4" s="7" t="inlineStr">
        <is>
          <t>Spain &amp; Portugal · Office</t>
        </is>
      </c>
    </row>
    <row r="5">
      <c r="A5" s="3" t="inlineStr">
        <is>
          <t>Criticality</t>
        </is>
      </c>
      <c r="B5" s="3" t="inlineStr">
        <is>
          <t>Compliant</t>
        </is>
      </c>
      <c r="C5" s="3" t="inlineStr">
        <is>
          <t>Partially compliant</t>
        </is>
      </c>
      <c r="D5" s="3" t="inlineStr">
        <is>
          <t>Non-compliant</t>
        </is>
      </c>
      <c r="E5" s="3" t="inlineStr">
        <is>
          <t>Total</t>
        </is>
      </c>
    </row>
    <row r="6">
      <c r="A6" s="4" t="inlineStr">
        <is>
          <t>High</t>
        </is>
      </c>
      <c r="B6" s="4" t="n">
        <v>12</v>
      </c>
      <c r="C6" s="4" t="n">
        <v>3</v>
      </c>
      <c r="D6" s="4" t="n">
        <v>2</v>
      </c>
      <c r="E6" s="4">
        <f>SUM(B6:D6)</f>
        <v/>
      </c>
    </row>
    <row r="7">
      <c r="A7" s="4" t="inlineStr">
        <is>
          <t>Medium</t>
        </is>
      </c>
      <c r="B7" s="4" t="n">
        <v>11</v>
      </c>
      <c r="C7" s="4" t="n">
        <v>13</v>
      </c>
      <c r="D7" s="4" t="n">
        <v>10</v>
      </c>
      <c r="E7" s="4">
        <f>SUM(B7:D7)</f>
        <v/>
      </c>
    </row>
    <row r="8">
      <c r="A8" s="4" t="inlineStr">
        <is>
          <t>Low</t>
        </is>
      </c>
      <c r="B8" s="4" t="n">
        <v>5</v>
      </c>
      <c r="C8" s="4" t="n">
        <v>8</v>
      </c>
      <c r="D8" s="4" t="n">
        <v>1</v>
      </c>
      <c r="E8" s="4">
        <f>SUM(B8:D8)</f>
        <v/>
      </c>
    </row>
    <row r="9">
      <c r="A9" s="6" t="inlineStr">
        <is>
          <t>Total</t>
        </is>
      </c>
      <c r="B9" s="6">
        <f>SUM(B6:B8)</f>
        <v/>
      </c>
      <c r="C9" s="6">
        <f>SUM(C6:C8)</f>
        <v/>
      </c>
      <c r="D9" s="6">
        <f>SUM(D6:D8)</f>
        <v/>
      </c>
      <c r="E9" s="6">
        <f>SUM(E6:E8)</f>
        <v/>
      </c>
    </row>
    <row r="20">
      <c r="A20" s="7" t="inlineStr">
        <is>
          <t>Spain &amp; Portugal · Factory</t>
        </is>
      </c>
    </row>
    <row r="21">
      <c r="A21" s="3" t="inlineStr">
        <is>
          <t>Criticality</t>
        </is>
      </c>
      <c r="B21" s="3" t="inlineStr">
        <is>
          <t>Compliant</t>
        </is>
      </c>
      <c r="C21" s="3" t="inlineStr">
        <is>
          <t>Partially compliant</t>
        </is>
      </c>
      <c r="D21" s="3" t="inlineStr">
        <is>
          <t>Non-compliant</t>
        </is>
      </c>
      <c r="E21" s="3" t="inlineStr">
        <is>
          <t>Total</t>
        </is>
      </c>
    </row>
    <row r="22">
      <c r="A22" s="4" t="inlineStr">
        <is>
          <t>High</t>
        </is>
      </c>
      <c r="B22" s="4" t="n">
        <v>2</v>
      </c>
      <c r="C22" s="4" t="n">
        <v>15</v>
      </c>
      <c r="D22" s="4" t="n">
        <v>9</v>
      </c>
      <c r="E22" s="4">
        <f>SUM(B22:D22)</f>
        <v/>
      </c>
    </row>
    <row r="23">
      <c r="A23" s="4" t="inlineStr">
        <is>
          <t>Medium</t>
        </is>
      </c>
      <c r="B23" s="4" t="n">
        <v>1</v>
      </c>
      <c r="C23" s="4" t="n">
        <v>16</v>
      </c>
      <c r="D23" s="4" t="n">
        <v>1</v>
      </c>
      <c r="E23" s="4">
        <f>SUM(B23:D23)</f>
        <v/>
      </c>
    </row>
    <row r="24">
      <c r="A24" s="4" t="inlineStr">
        <is>
          <t>Low</t>
        </is>
      </c>
      <c r="B24" s="4" t="n">
        <v>0</v>
      </c>
      <c r="C24" s="4" t="n">
        <v>1</v>
      </c>
      <c r="D24" s="4" t="n">
        <v>1</v>
      </c>
      <c r="E24" s="4">
        <f>SUM(B24:D24)</f>
        <v/>
      </c>
    </row>
    <row r="25">
      <c r="A25" s="6" t="inlineStr">
        <is>
          <t>Total</t>
        </is>
      </c>
      <c r="B25" s="6">
        <f>SUM(B22:B24)</f>
        <v/>
      </c>
      <c r="C25" s="6">
        <f>SUM(C22:C24)</f>
        <v/>
      </c>
      <c r="D25" s="6">
        <f>SUM(D22:D24)</f>
        <v/>
      </c>
      <c r="E25" s="6">
        <f>SUM(E22:E24)</f>
        <v/>
      </c>
    </row>
    <row r="36">
      <c r="A36" s="7" t="inlineStr">
        <is>
          <t>Spain &amp; Portugal · Warehouse</t>
        </is>
      </c>
    </row>
    <row r="37">
      <c r="A37" s="3" t="inlineStr">
        <is>
          <t>Criticality</t>
        </is>
      </c>
      <c r="B37" s="3" t="inlineStr">
        <is>
          <t>Compliant</t>
        </is>
      </c>
      <c r="C37" s="3" t="inlineStr">
        <is>
          <t>Partially compliant</t>
        </is>
      </c>
      <c r="D37" s="3" t="inlineStr">
        <is>
          <t>Non-compliant</t>
        </is>
      </c>
      <c r="E37" s="3" t="inlineStr">
        <is>
          <t>Total</t>
        </is>
      </c>
    </row>
    <row r="38">
      <c r="A38" s="4" t="inlineStr">
        <is>
          <t>High</t>
        </is>
      </c>
      <c r="B38" s="4" t="n">
        <v>62</v>
      </c>
      <c r="C38" s="4" t="n">
        <v>35</v>
      </c>
      <c r="D38" s="4" t="n">
        <v>33</v>
      </c>
      <c r="E38" s="4">
        <f>SUM(B38:D38)</f>
        <v/>
      </c>
    </row>
    <row r="39">
      <c r="A39" s="4" t="inlineStr">
        <is>
          <t>Medium</t>
        </is>
      </c>
      <c r="B39" s="4" t="n">
        <v>23</v>
      </c>
      <c r="C39" s="4" t="n">
        <v>64</v>
      </c>
      <c r="D39" s="4" t="n">
        <v>30</v>
      </c>
      <c r="E39" s="4">
        <f>SUM(B39:D39)</f>
        <v/>
      </c>
    </row>
    <row r="40">
      <c r="A40" s="4" t="inlineStr">
        <is>
          <t>Low</t>
        </is>
      </c>
      <c r="B40" s="4" t="n">
        <v>1</v>
      </c>
      <c r="C40" s="4" t="n">
        <v>22</v>
      </c>
      <c r="D40" s="4" t="n">
        <v>7</v>
      </c>
      <c r="E40" s="4">
        <f>SUM(B40:D40)</f>
        <v/>
      </c>
    </row>
    <row r="41">
      <c r="A41" s="6" t="inlineStr">
        <is>
          <t>Total</t>
        </is>
      </c>
      <c r="B41" s="6">
        <f>SUM(B38:B40)</f>
        <v/>
      </c>
      <c r="C41" s="6">
        <f>SUM(C38:C40)</f>
        <v/>
      </c>
      <c r="D41" s="6">
        <f>SUM(D38:D40)</f>
        <v/>
      </c>
      <c r="E41" s="6">
        <f>SUM(E38:E40)</f>
        <v/>
      </c>
    </row>
    <row r="52">
      <c r="A52" s="7" t="inlineStr">
        <is>
          <t>Spain &amp; Portugal · Services</t>
        </is>
      </c>
    </row>
    <row r="53">
      <c r="A53" s="3" t="inlineStr">
        <is>
          <t>Criticality</t>
        </is>
      </c>
      <c r="B53" s="3" t="inlineStr">
        <is>
          <t>Compliant</t>
        </is>
      </c>
      <c r="C53" s="3" t="inlineStr">
        <is>
          <t>Partially compliant</t>
        </is>
      </c>
      <c r="D53" s="3" t="inlineStr">
        <is>
          <t>Non-compliant</t>
        </is>
      </c>
      <c r="E53" s="3" t="inlineStr">
        <is>
          <t>Total</t>
        </is>
      </c>
    </row>
    <row r="54">
      <c r="A54" s="4" t="inlineStr">
        <is>
          <t>High</t>
        </is>
      </c>
      <c r="B54" s="4" t="n">
        <v>10</v>
      </c>
      <c r="C54" s="4" t="n">
        <v>0</v>
      </c>
      <c r="D54" s="4" t="n">
        <v>0</v>
      </c>
      <c r="E54" s="4">
        <f>SUM(B54:D54)</f>
        <v/>
      </c>
    </row>
    <row r="55">
      <c r="A55" s="4" t="inlineStr">
        <is>
          <t>Medium</t>
        </is>
      </c>
      <c r="B55" s="4" t="n">
        <v>0</v>
      </c>
      <c r="C55" s="4" t="n">
        <v>1</v>
      </c>
      <c r="D55" s="4" t="n">
        <v>0</v>
      </c>
      <c r="E55" s="4">
        <f>SUM(B55:D55)</f>
        <v/>
      </c>
    </row>
    <row r="56">
      <c r="A56" s="4" t="inlineStr">
        <is>
          <t>Low</t>
        </is>
      </c>
      <c r="B56" s="4" t="n">
        <v>0</v>
      </c>
      <c r="C56" s="4" t="n">
        <v>0</v>
      </c>
      <c r="D56" s="4" t="n">
        <v>0</v>
      </c>
      <c r="E56" s="4">
        <f>SUM(B56:D56)</f>
        <v/>
      </c>
    </row>
    <row r="57">
      <c r="A57" s="6" t="inlineStr">
        <is>
          <t>Total</t>
        </is>
      </c>
      <c r="B57" s="6">
        <f>SUM(B54:B56)</f>
        <v/>
      </c>
      <c r="C57" s="6">
        <f>SUM(C54:C56)</f>
        <v/>
      </c>
      <c r="D57" s="6">
        <f>SUM(D54:D56)</f>
        <v/>
      </c>
      <c r="E57" s="6">
        <f>SUM(E54:E56)</f>
        <v/>
      </c>
    </row>
    <row r="68">
      <c r="A68" s="7" t="inlineStr">
        <is>
          <t>Mexico &amp; Colombia · Office</t>
        </is>
      </c>
    </row>
    <row r="69">
      <c r="A69" s="3" t="inlineStr">
        <is>
          <t>Criticality</t>
        </is>
      </c>
      <c r="B69" s="3" t="inlineStr">
        <is>
          <t>Compliant</t>
        </is>
      </c>
      <c r="C69" s="3" t="inlineStr">
        <is>
          <t>Partially compliant</t>
        </is>
      </c>
      <c r="D69" s="3" t="inlineStr">
        <is>
          <t>Non-compliant</t>
        </is>
      </c>
      <c r="E69" s="3" t="inlineStr">
        <is>
          <t>Total</t>
        </is>
      </c>
    </row>
    <row r="70">
      <c r="A70" s="4" t="inlineStr">
        <is>
          <t>High</t>
        </is>
      </c>
      <c r="B70" s="4" t="n">
        <v>25</v>
      </c>
      <c r="C70" s="4" t="n">
        <v>2</v>
      </c>
      <c r="D70" s="4" t="n">
        <v>3</v>
      </c>
      <c r="E70" s="4">
        <f>SUM(B70:D70)</f>
        <v/>
      </c>
    </row>
    <row r="71">
      <c r="A71" s="4" t="inlineStr">
        <is>
          <t>Medium</t>
        </is>
      </c>
      <c r="B71" s="4" t="n">
        <v>8</v>
      </c>
      <c r="C71" s="4" t="n">
        <v>4</v>
      </c>
      <c r="D71" s="4" t="n">
        <v>3</v>
      </c>
      <c r="E71" s="4">
        <f>SUM(B71:D71)</f>
        <v/>
      </c>
    </row>
    <row r="72">
      <c r="A72" s="4" t="inlineStr">
        <is>
          <t>Low</t>
        </is>
      </c>
      <c r="B72" s="4" t="n">
        <v>7</v>
      </c>
      <c r="C72" s="4" t="n">
        <v>3</v>
      </c>
      <c r="D72" s="4" t="n">
        <v>9</v>
      </c>
      <c r="E72" s="4">
        <f>SUM(B72:D72)</f>
        <v/>
      </c>
    </row>
    <row r="73">
      <c r="A73" s="6" t="inlineStr">
        <is>
          <t>Total</t>
        </is>
      </c>
      <c r="B73" s="6">
        <f>SUM(B70:B72)</f>
        <v/>
      </c>
      <c r="C73" s="6">
        <f>SUM(C70:C72)</f>
        <v/>
      </c>
      <c r="D73" s="6">
        <f>SUM(D70:D72)</f>
        <v/>
      </c>
      <c r="E73" s="6">
        <f>SUM(E70:E72)</f>
        <v/>
      </c>
    </row>
    <row r="84">
      <c r="A84" s="7" t="inlineStr">
        <is>
          <t>Mexico &amp; Colombia · EPC</t>
        </is>
      </c>
    </row>
    <row r="85">
      <c r="A85" s="3" t="inlineStr">
        <is>
          <t>Criticality</t>
        </is>
      </c>
      <c r="B85" s="3" t="inlineStr">
        <is>
          <t>Compliant</t>
        </is>
      </c>
      <c r="C85" s="3" t="inlineStr">
        <is>
          <t>Partially compliant</t>
        </is>
      </c>
      <c r="D85" s="3" t="inlineStr">
        <is>
          <t>Non-compliant</t>
        </is>
      </c>
      <c r="E85" s="3" t="inlineStr">
        <is>
          <t>Total</t>
        </is>
      </c>
    </row>
    <row r="86">
      <c r="A86" s="4" t="inlineStr">
        <is>
          <t>High</t>
        </is>
      </c>
      <c r="B86" s="4" t="n">
        <v>19</v>
      </c>
      <c r="C86" s="4" t="n">
        <v>0</v>
      </c>
      <c r="D86" s="4" t="n">
        <v>13</v>
      </c>
      <c r="E86" s="4">
        <f>SUM(B86:D86)</f>
        <v/>
      </c>
    </row>
    <row r="87">
      <c r="A87" s="4" t="inlineStr">
        <is>
          <t>Medium</t>
        </is>
      </c>
      <c r="B87" s="4" t="n">
        <v>11</v>
      </c>
      <c r="C87" s="4" t="n">
        <v>5</v>
      </c>
      <c r="D87" s="4" t="n">
        <v>15</v>
      </c>
      <c r="E87" s="4">
        <f>SUM(B87:D87)</f>
        <v/>
      </c>
    </row>
    <row r="88">
      <c r="A88" s="4" t="inlineStr">
        <is>
          <t>Low</t>
        </is>
      </c>
      <c r="B88" s="4" t="n">
        <v>8</v>
      </c>
      <c r="C88" s="4" t="n">
        <v>3</v>
      </c>
      <c r="D88" s="4" t="n">
        <v>1</v>
      </c>
      <c r="E88" s="4">
        <f>SUM(B88:D88)</f>
        <v/>
      </c>
    </row>
    <row r="89">
      <c r="A89" s="6" t="inlineStr">
        <is>
          <t>Total</t>
        </is>
      </c>
      <c r="B89" s="6">
        <f>SUM(B86:B88)</f>
        <v/>
      </c>
      <c r="C89" s="6">
        <f>SUM(C86:C88)</f>
        <v/>
      </c>
      <c r="D89" s="6">
        <f>SUM(D86:D88)</f>
        <v/>
      </c>
      <c r="E89" s="6">
        <f>SUM(E86:E88)</f>
        <v/>
      </c>
    </row>
    <row r="100">
      <c r="A100" s="7" t="inlineStr">
        <is>
          <t>Mexico &amp; Colombia · Warehouse</t>
        </is>
      </c>
    </row>
    <row r="101">
      <c r="A101" s="3" t="inlineStr">
        <is>
          <t>Criticality</t>
        </is>
      </c>
      <c r="B101" s="3" t="inlineStr">
        <is>
          <t>Compliant</t>
        </is>
      </c>
      <c r="C101" s="3" t="inlineStr">
        <is>
          <t>Partially compliant</t>
        </is>
      </c>
      <c r="D101" s="3" t="inlineStr">
        <is>
          <t>Non-compliant</t>
        </is>
      </c>
      <c r="E101" s="3" t="inlineStr">
        <is>
          <t>Total</t>
        </is>
      </c>
    </row>
    <row r="102">
      <c r="A102" s="4" t="inlineStr">
        <is>
          <t>High</t>
        </is>
      </c>
      <c r="B102" s="4" t="n">
        <v>23</v>
      </c>
      <c r="C102" s="4" t="n">
        <v>7</v>
      </c>
      <c r="D102" s="4" t="n">
        <v>5</v>
      </c>
      <c r="E102" s="4">
        <f>SUM(B102:D102)</f>
        <v/>
      </c>
    </row>
    <row r="103">
      <c r="A103" s="4" t="inlineStr">
        <is>
          <t>Medium</t>
        </is>
      </c>
      <c r="B103" s="4" t="n">
        <v>22</v>
      </c>
      <c r="C103" s="4" t="n">
        <v>6</v>
      </c>
      <c r="D103" s="4" t="n">
        <v>0</v>
      </c>
      <c r="E103" s="4">
        <f>SUM(B103:D103)</f>
        <v/>
      </c>
    </row>
    <row r="104">
      <c r="A104" s="4" t="inlineStr">
        <is>
          <t>Low</t>
        </is>
      </c>
      <c r="B104" s="4" t="n">
        <v>8</v>
      </c>
      <c r="C104" s="4" t="n">
        <v>0</v>
      </c>
      <c r="D104" s="4" t="n">
        <v>1</v>
      </c>
      <c r="E104" s="4">
        <f>SUM(B104:D104)</f>
        <v/>
      </c>
    </row>
    <row r="105">
      <c r="A105" s="6" t="inlineStr">
        <is>
          <t>Total</t>
        </is>
      </c>
      <c r="B105" s="6">
        <f>SUM(B102:B104)</f>
        <v/>
      </c>
      <c r="C105" s="6">
        <f>SUM(C102:C104)</f>
        <v/>
      </c>
      <c r="D105" s="6">
        <f>SUM(D102:D104)</f>
        <v/>
      </c>
      <c r="E105" s="6">
        <f>SUM(E102:E104)</f>
        <v/>
      </c>
    </row>
    <row r="116">
      <c r="A116" s="7" t="inlineStr">
        <is>
          <t>Mexico &amp; Colombia · Services</t>
        </is>
      </c>
    </row>
    <row r="117">
      <c r="A117" s="3" t="inlineStr">
        <is>
          <t>Criticality</t>
        </is>
      </c>
      <c r="B117" s="3" t="inlineStr">
        <is>
          <t>Compliant</t>
        </is>
      </c>
      <c r="C117" s="3" t="inlineStr">
        <is>
          <t>Partially compliant</t>
        </is>
      </c>
      <c r="D117" s="3" t="inlineStr">
        <is>
          <t>Non-compliant</t>
        </is>
      </c>
      <c r="E117" s="3" t="inlineStr">
        <is>
          <t>Total</t>
        </is>
      </c>
    </row>
    <row r="118">
      <c r="A118" s="4" t="inlineStr">
        <is>
          <t>High</t>
        </is>
      </c>
      <c r="B118" s="4" t="n">
        <v>16</v>
      </c>
      <c r="C118" s="4" t="n">
        <v>7</v>
      </c>
      <c r="D118" s="4" t="n">
        <v>13</v>
      </c>
      <c r="E118" s="4">
        <f>SUM(B118:D118)</f>
        <v/>
      </c>
    </row>
    <row r="119">
      <c r="A119" s="4" t="inlineStr">
        <is>
          <t>Medium</t>
        </is>
      </c>
      <c r="B119" s="4" t="n">
        <v>17</v>
      </c>
      <c r="C119" s="4" t="n">
        <v>4</v>
      </c>
      <c r="D119" s="4" t="n">
        <v>9</v>
      </c>
      <c r="E119" s="4">
        <f>SUM(B119:D119)</f>
        <v/>
      </c>
    </row>
    <row r="120">
      <c r="A120" s="4" t="inlineStr">
        <is>
          <t>Low</t>
        </is>
      </c>
      <c r="B120" s="4" t="n">
        <v>7</v>
      </c>
      <c r="C120" s="4" t="n">
        <v>6</v>
      </c>
      <c r="D120" s="4" t="n">
        <v>4</v>
      </c>
      <c r="E120" s="4">
        <f>SUM(B120:D120)</f>
        <v/>
      </c>
    </row>
    <row r="121">
      <c r="A121" s="6" t="inlineStr">
        <is>
          <t>Total</t>
        </is>
      </c>
      <c r="B121" s="6">
        <f>SUM(B118:B120)</f>
        <v/>
      </c>
      <c r="C121" s="6">
        <f>SUM(C118:C120)</f>
        <v/>
      </c>
      <c r="D121" s="6">
        <f>SUM(D118:D120)</f>
        <v/>
      </c>
      <c r="E121" s="6">
        <f>SUM(E118:E120)</f>
        <v/>
      </c>
    </row>
    <row r="132">
      <c r="A132" s="7" t="inlineStr">
        <is>
          <t>France · Office</t>
        </is>
      </c>
    </row>
    <row r="133">
      <c r="A133" s="3" t="inlineStr">
        <is>
          <t>Criticality</t>
        </is>
      </c>
      <c r="B133" s="3" t="inlineStr">
        <is>
          <t>Compliant</t>
        </is>
      </c>
      <c r="C133" s="3" t="inlineStr">
        <is>
          <t>Partially compliant</t>
        </is>
      </c>
      <c r="D133" s="3" t="inlineStr">
        <is>
          <t>Non-compliant</t>
        </is>
      </c>
      <c r="E133" s="3" t="inlineStr">
        <is>
          <t>Total</t>
        </is>
      </c>
    </row>
    <row r="134">
      <c r="A134" s="4" t="inlineStr">
        <is>
          <t>High</t>
        </is>
      </c>
      <c r="B134" s="4" t="n">
        <v>0</v>
      </c>
      <c r="C134" s="4" t="n">
        <v>0</v>
      </c>
      <c r="D134" s="4" t="n">
        <v>3</v>
      </c>
      <c r="E134" s="4">
        <f>SUM(B134:D134)</f>
        <v/>
      </c>
    </row>
    <row r="135">
      <c r="A135" s="4" t="inlineStr">
        <is>
          <t>Medium</t>
        </is>
      </c>
      <c r="B135" s="4" t="n">
        <v>0</v>
      </c>
      <c r="C135" s="4" t="n">
        <v>0</v>
      </c>
      <c r="D135" s="4" t="n">
        <v>5</v>
      </c>
      <c r="E135" s="4">
        <f>SUM(B135:D135)</f>
        <v/>
      </c>
    </row>
    <row r="136">
      <c r="A136" s="4" t="inlineStr">
        <is>
          <t>Low</t>
        </is>
      </c>
      <c r="B136" s="4" t="n">
        <v>0</v>
      </c>
      <c r="C136" s="4" t="n">
        <v>0</v>
      </c>
      <c r="D136" s="4" t="n">
        <v>10</v>
      </c>
      <c r="E136" s="4">
        <f>SUM(B136:D136)</f>
        <v/>
      </c>
    </row>
    <row r="137">
      <c r="A137" s="6" t="inlineStr">
        <is>
          <t>Total</t>
        </is>
      </c>
      <c r="B137" s="6">
        <f>SUM(B134:B136)</f>
        <v/>
      </c>
      <c r="C137" s="6">
        <f>SUM(C134:C136)</f>
        <v/>
      </c>
      <c r="D137" s="6">
        <f>SUM(D134:D136)</f>
        <v/>
      </c>
      <c r="E137" s="6">
        <f>SUM(E134:E136)</f>
        <v/>
      </c>
    </row>
    <row r="148">
      <c r="A148" s="7" t="inlineStr">
        <is>
          <t>France · EPC</t>
        </is>
      </c>
    </row>
    <row r="149">
      <c r="A149" s="3" t="inlineStr">
        <is>
          <t>Criticality</t>
        </is>
      </c>
      <c r="B149" s="3" t="inlineStr">
        <is>
          <t>Compliant</t>
        </is>
      </c>
      <c r="C149" s="3" t="inlineStr">
        <is>
          <t>Partially compliant</t>
        </is>
      </c>
      <c r="D149" s="3" t="inlineStr">
        <is>
          <t>Non-compliant</t>
        </is>
      </c>
      <c r="E149" s="3" t="inlineStr">
        <is>
          <t>Total</t>
        </is>
      </c>
    </row>
    <row r="150">
      <c r="A150" s="4" t="inlineStr">
        <is>
          <t>High</t>
        </is>
      </c>
      <c r="B150" s="4" t="n">
        <v>0</v>
      </c>
      <c r="C150" s="4" t="n">
        <v>1</v>
      </c>
      <c r="D150" s="4" t="n">
        <v>5</v>
      </c>
      <c r="E150" s="4">
        <f>SUM(B150:D150)</f>
        <v/>
      </c>
    </row>
    <row r="151">
      <c r="A151" s="4" t="inlineStr">
        <is>
          <t>Medium</t>
        </is>
      </c>
      <c r="B151" s="4" t="n">
        <v>0</v>
      </c>
      <c r="C151" s="4" t="n">
        <v>0</v>
      </c>
      <c r="D151" s="4" t="n">
        <v>4</v>
      </c>
      <c r="E151" s="4">
        <f>SUM(B151:D151)</f>
        <v/>
      </c>
    </row>
    <row r="152">
      <c r="A152" s="4" t="inlineStr">
        <is>
          <t>Low</t>
        </is>
      </c>
      <c r="B152" s="4" t="n">
        <v>0</v>
      </c>
      <c r="C152" s="4" t="n">
        <v>0</v>
      </c>
      <c r="D152" s="4" t="n">
        <v>3</v>
      </c>
      <c r="E152" s="4">
        <f>SUM(B152:D152)</f>
        <v/>
      </c>
    </row>
    <row r="153">
      <c r="A153" s="6" t="inlineStr">
        <is>
          <t>Total</t>
        </is>
      </c>
      <c r="B153" s="6">
        <f>SUM(B150:B152)</f>
        <v/>
      </c>
      <c r="C153" s="6">
        <f>SUM(C150:C152)</f>
        <v/>
      </c>
      <c r="D153" s="6">
        <f>SUM(D150:D152)</f>
        <v/>
      </c>
      <c r="E153" s="6">
        <f>SUM(E150:E152)</f>
        <v/>
      </c>
    </row>
    <row r="164">
      <c r="A164" s="7" t="inlineStr">
        <is>
          <t>Greece &amp; Italy · Office</t>
        </is>
      </c>
    </row>
    <row r="165">
      <c r="A165" s="3" t="inlineStr">
        <is>
          <t>Criticality</t>
        </is>
      </c>
      <c r="B165" s="3" t="inlineStr">
        <is>
          <t>Compliant</t>
        </is>
      </c>
      <c r="C165" s="3" t="inlineStr">
        <is>
          <t>Partially compliant</t>
        </is>
      </c>
      <c r="D165" s="3" t="inlineStr">
        <is>
          <t>Non-compliant</t>
        </is>
      </c>
      <c r="E165" s="3" t="inlineStr">
        <is>
          <t>Total</t>
        </is>
      </c>
    </row>
    <row r="166">
      <c r="A166" s="4" t="inlineStr">
        <is>
          <t>High</t>
        </is>
      </c>
      <c r="B166" s="4" t="n">
        <v>15</v>
      </c>
      <c r="C166" s="4" t="n">
        <v>2</v>
      </c>
      <c r="D166" s="4" t="n">
        <v>3</v>
      </c>
      <c r="E166" s="4">
        <f>SUM(B166:D166)</f>
        <v/>
      </c>
    </row>
    <row r="167">
      <c r="A167" s="4" t="inlineStr">
        <is>
          <t>Medium</t>
        </is>
      </c>
      <c r="B167" s="4" t="n">
        <v>18</v>
      </c>
      <c r="C167" s="4" t="n">
        <v>3</v>
      </c>
      <c r="D167" s="4" t="n">
        <v>3</v>
      </c>
      <c r="E167" s="4">
        <f>SUM(B167:D167)</f>
        <v/>
      </c>
    </row>
    <row r="168">
      <c r="A168" s="4" t="inlineStr">
        <is>
          <t>Low</t>
        </is>
      </c>
      <c r="B168" s="4" t="n">
        <v>4</v>
      </c>
      <c r="C168" s="4" t="n">
        <v>5</v>
      </c>
      <c r="D168" s="4" t="n">
        <v>2</v>
      </c>
      <c r="E168" s="4">
        <f>SUM(B168:D168)</f>
        <v/>
      </c>
    </row>
    <row r="169">
      <c r="A169" s="6" t="inlineStr">
        <is>
          <t>Total</t>
        </is>
      </c>
      <c r="B169" s="6">
        <f>SUM(B166:B168)</f>
        <v/>
      </c>
      <c r="C169" s="6">
        <f>SUM(C166:C168)</f>
        <v/>
      </c>
      <c r="D169" s="6">
        <f>SUM(D166:D168)</f>
        <v/>
      </c>
      <c r="E169" s="6">
        <f>SUM(E166:E168)</f>
        <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min="1" max="1"/>
    <col width="10" customWidth="1" min="2" max="2"/>
    <col width="11" customWidth="1" min="3" max="3"/>
    <col width="12" customWidth="1" min="4" max="4"/>
    <col width="13" customWidth="1" min="5" max="5"/>
    <col width="12" customWidth="1" min="6" max="6"/>
    <col width="11" customWidth="1" min="7" max="7"/>
    <col width="11" customWidth="1" min="8" max="8"/>
    <col width="11" customWidth="1" min="9" max="9"/>
    <col width="12" customWidth="1" min="10" max="10"/>
  </cols>
  <sheetData>
    <row r="1">
      <c r="A1" s="1" t="inlineStr">
        <is>
          <t>Cluster KPI tiles (deck figures)</t>
        </is>
      </c>
    </row>
    <row r="4">
      <c r="A4" s="3" t="inlineStr">
        <is>
          <t>Cluster</t>
        </is>
      </c>
      <c r="B4" s="3" t="inlineStr">
        <is>
          <t>Types of business</t>
        </is>
      </c>
      <c r="C4" s="3" t="inlineStr">
        <is>
          <t>Compliant</t>
        </is>
      </c>
      <c r="D4" s="3" t="inlineStr">
        <is>
          <t>Partially compliant</t>
        </is>
      </c>
      <c r="E4" s="3" t="inlineStr">
        <is>
          <t>Non-compliant</t>
        </is>
      </c>
      <c r="F4" s="3" t="inlineStr">
        <is>
          <t>Requirements assessed</t>
        </is>
      </c>
      <c r="G4" s="3" t="inlineStr">
        <is>
          <t>% compliant</t>
        </is>
      </c>
      <c r="H4" s="3" t="inlineStr">
        <is>
          <t>High · compliant</t>
        </is>
      </c>
      <c r="I4" s="3" t="inlineStr">
        <is>
          <t>High · partial</t>
        </is>
      </c>
      <c r="J4" s="3" t="inlineStr">
        <is>
          <t>High · non-compliant</t>
        </is>
      </c>
    </row>
    <row r="5">
      <c r="A5" s="4" t="inlineStr">
        <is>
          <t>Spain &amp; Portugal</t>
        </is>
      </c>
      <c r="B5" s="4" t="n">
        <v>4</v>
      </c>
      <c r="C5" s="4" t="n">
        <v>127</v>
      </c>
      <c r="D5" s="4" t="n">
        <v>178</v>
      </c>
      <c r="E5" s="4" t="n">
        <v>94</v>
      </c>
      <c r="F5" s="4">
        <f>SUM(C5:E5)</f>
        <v/>
      </c>
      <c r="G5" s="9">
        <f>C5/F5</f>
        <v/>
      </c>
      <c r="H5" s="4" t="n">
        <v>86</v>
      </c>
      <c r="I5" s="4" t="n">
        <v>53</v>
      </c>
      <c r="J5" s="4" t="n">
        <v>44</v>
      </c>
    </row>
    <row r="6">
      <c r="A6" s="4" t="inlineStr">
        <is>
          <t>Mexico &amp; Colombia</t>
        </is>
      </c>
      <c r="B6" s="4" t="n">
        <v>4</v>
      </c>
      <c r="C6" s="4" t="n">
        <v>171</v>
      </c>
      <c r="D6" s="4" t="n">
        <v>47</v>
      </c>
      <c r="E6" s="4" t="n">
        <v>76</v>
      </c>
      <c r="F6" s="4">
        <f>SUM(C6:E6)</f>
        <v/>
      </c>
      <c r="G6" s="9">
        <f>C6/F6</f>
        <v/>
      </c>
      <c r="H6" s="4" t="n">
        <v>83</v>
      </c>
      <c r="I6" s="4" t="n">
        <v>16</v>
      </c>
      <c r="J6" s="4" t="n">
        <v>34</v>
      </c>
    </row>
    <row r="7">
      <c r="A7" s="4" t="inlineStr">
        <is>
          <t>France</t>
        </is>
      </c>
      <c r="B7" s="4" t="n">
        <v>2</v>
      </c>
      <c r="C7" s="4" t="n">
        <v>0</v>
      </c>
      <c r="D7" s="4" t="n">
        <v>1</v>
      </c>
      <c r="E7" s="4" t="n">
        <v>30</v>
      </c>
      <c r="F7" s="4">
        <f>SUM(C7:E7)</f>
        <v/>
      </c>
      <c r="G7" s="9">
        <f>C7/F7</f>
        <v/>
      </c>
      <c r="H7" s="4" t="n">
        <v>0</v>
      </c>
      <c r="I7" s="4" t="n">
        <v>1</v>
      </c>
      <c r="J7" s="4" t="n">
        <v>8</v>
      </c>
    </row>
    <row r="8">
      <c r="A8" s="4" t="inlineStr">
        <is>
          <t>Greece &amp; Italy</t>
        </is>
      </c>
      <c r="B8" s="4" t="n">
        <v>1</v>
      </c>
      <c r="C8" s="4" t="n">
        <v>37</v>
      </c>
      <c r="D8" s="4" t="n">
        <v>10</v>
      </c>
      <c r="E8" s="4" t="n">
        <v>8</v>
      </c>
      <c r="F8" s="4">
        <f>SUM(C8:E8)</f>
        <v/>
      </c>
      <c r="G8" s="9">
        <f>C8/F8</f>
        <v/>
      </c>
      <c r="H8" s="4" t="n">
        <v>15</v>
      </c>
      <c r="I8" s="4" t="n">
        <v>2</v>
      </c>
      <c r="J8" s="4" t="n">
        <v>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0" customWidth="1" min="1" max="1"/>
    <col width="14" customWidth="1" min="2" max="2"/>
    <col width="11" customWidth="1" min="3" max="3"/>
    <col width="12" customWidth="1" min="4" max="4"/>
    <col width="13" customWidth="1" min="5" max="5"/>
    <col width="9" customWidth="1" min="6" max="6"/>
    <col width="11" customWidth="1" min="7" max="7"/>
    <col width="10" customWidth="1" min="8" max="8"/>
    <col width="13" customWidth="1" min="9" max="9"/>
  </cols>
  <sheetData>
    <row r="1">
      <c r="A1" s="1" t="inlineStr">
        <is>
          <t>Compliance mix by type of business (all criticality levels, deck figures)</t>
        </is>
      </c>
    </row>
    <row r="4">
      <c r="A4" s="3" t="inlineStr">
        <is>
          <t>Cluster</t>
        </is>
      </c>
      <c r="B4" s="3" t="inlineStr">
        <is>
          <t>Type of business</t>
        </is>
      </c>
      <c r="C4" s="3" t="inlineStr">
        <is>
          <t>Compliant</t>
        </is>
      </c>
      <c r="D4" s="3" t="inlineStr">
        <is>
          <t>Partially compliant</t>
        </is>
      </c>
      <c r="E4" s="3" t="inlineStr">
        <is>
          <t>Non-compliant</t>
        </is>
      </c>
      <c r="F4" s="3" t="inlineStr">
        <is>
          <t>Total</t>
        </is>
      </c>
      <c r="G4" s="3" t="inlineStr">
        <is>
          <t>% compliant</t>
        </is>
      </c>
      <c r="H4" s="3" t="inlineStr">
        <is>
          <t>% partial</t>
        </is>
      </c>
      <c r="I4" s="3" t="inlineStr">
        <is>
          <t>% non-compliant</t>
        </is>
      </c>
    </row>
    <row r="5">
      <c r="A5" s="4" t="inlineStr">
        <is>
          <t>Spain &amp; Portugal</t>
        </is>
      </c>
      <c r="B5" s="4" t="inlineStr">
        <is>
          <t>Office</t>
        </is>
      </c>
      <c r="C5" s="4" t="n">
        <v>28</v>
      </c>
      <c r="D5" s="4" t="n">
        <v>24</v>
      </c>
      <c r="E5" s="4" t="n">
        <v>13</v>
      </c>
      <c r="F5">
        <f>SUM(C5:E5)</f>
        <v/>
      </c>
      <c r="G5" s="10">
        <f>C5/F5</f>
        <v/>
      </c>
      <c r="H5" s="10">
        <f>D5/F5</f>
        <v/>
      </c>
      <c r="I5" s="10">
        <f>E5/F5</f>
        <v/>
      </c>
    </row>
    <row r="6">
      <c r="A6" s="4" t="inlineStr">
        <is>
          <t>Spain &amp; Portugal</t>
        </is>
      </c>
      <c r="B6" s="4" t="inlineStr">
        <is>
          <t>Factory</t>
        </is>
      </c>
      <c r="C6" s="4" t="n">
        <v>3</v>
      </c>
      <c r="D6" s="4" t="n">
        <v>32</v>
      </c>
      <c r="E6" s="4" t="n">
        <v>11</v>
      </c>
      <c r="F6">
        <f>SUM(C6:E6)</f>
        <v/>
      </c>
      <c r="G6" s="10">
        <f>C6/F6</f>
        <v/>
      </c>
      <c r="H6" s="10">
        <f>D6/F6</f>
        <v/>
      </c>
      <c r="I6" s="10">
        <f>E6/F6</f>
        <v/>
      </c>
    </row>
    <row r="7">
      <c r="A7" s="4" t="inlineStr">
        <is>
          <t>Spain &amp; Portugal</t>
        </is>
      </c>
      <c r="B7" s="4" t="inlineStr">
        <is>
          <t>Warehouse</t>
        </is>
      </c>
      <c r="C7" s="4" t="n">
        <v>86</v>
      </c>
      <c r="D7" s="4" t="n">
        <v>121</v>
      </c>
      <c r="E7" s="4" t="n">
        <v>70</v>
      </c>
      <c r="F7">
        <f>SUM(C7:E7)</f>
        <v/>
      </c>
      <c r="G7" s="10">
        <f>C7/F7</f>
        <v/>
      </c>
      <c r="H7" s="10">
        <f>D7/F7</f>
        <v/>
      </c>
      <c r="I7" s="10">
        <f>E7/F7</f>
        <v/>
      </c>
    </row>
    <row r="8">
      <c r="A8" s="4" t="inlineStr">
        <is>
          <t>Spain &amp; Portugal</t>
        </is>
      </c>
      <c r="B8" s="4" t="inlineStr">
        <is>
          <t>Services</t>
        </is>
      </c>
      <c r="C8" s="4" t="n">
        <v>10</v>
      </c>
      <c r="D8" s="4" t="n">
        <v>1</v>
      </c>
      <c r="E8" s="4" t="n">
        <v>0</v>
      </c>
      <c r="F8">
        <f>SUM(C8:E8)</f>
        <v/>
      </c>
      <c r="G8" s="10">
        <f>C8/F8</f>
        <v/>
      </c>
      <c r="H8" s="10">
        <f>D8/F8</f>
        <v/>
      </c>
      <c r="I8" s="10">
        <f>E8/F8</f>
        <v/>
      </c>
    </row>
    <row r="9">
      <c r="A9" s="4" t="inlineStr">
        <is>
          <t>Mexico &amp; Colombia</t>
        </is>
      </c>
      <c r="B9" s="4" t="inlineStr">
        <is>
          <t>Office</t>
        </is>
      </c>
      <c r="C9" s="4" t="n">
        <v>40</v>
      </c>
      <c r="D9" s="4" t="n">
        <v>9</v>
      </c>
      <c r="E9" s="4" t="n">
        <v>15</v>
      </c>
      <c r="F9">
        <f>SUM(C9:E9)</f>
        <v/>
      </c>
      <c r="G9" s="10">
        <f>C9/F9</f>
        <v/>
      </c>
      <c r="H9" s="10">
        <f>D9/F9</f>
        <v/>
      </c>
      <c r="I9" s="10">
        <f>E9/F9</f>
        <v/>
      </c>
    </row>
    <row r="10">
      <c r="A10" s="4" t="inlineStr">
        <is>
          <t>Mexico &amp; Colombia</t>
        </is>
      </c>
      <c r="B10" s="4" t="inlineStr">
        <is>
          <t>EPC</t>
        </is>
      </c>
      <c r="C10" s="4" t="n">
        <v>38</v>
      </c>
      <c r="D10" s="4" t="n">
        <v>8</v>
      </c>
      <c r="E10" s="4" t="n">
        <v>29</v>
      </c>
      <c r="F10">
        <f>SUM(C10:E10)</f>
        <v/>
      </c>
      <c r="G10" s="10">
        <f>C10/F10</f>
        <v/>
      </c>
      <c r="H10" s="10">
        <f>D10/F10</f>
        <v/>
      </c>
      <c r="I10" s="10">
        <f>E10/F10</f>
        <v/>
      </c>
    </row>
    <row r="11">
      <c r="A11" s="4" t="inlineStr">
        <is>
          <t>Mexico &amp; Colombia</t>
        </is>
      </c>
      <c r="B11" s="4" t="inlineStr">
        <is>
          <t>Warehouse</t>
        </is>
      </c>
      <c r="C11" s="4" t="n">
        <v>53</v>
      </c>
      <c r="D11" s="4" t="n">
        <v>13</v>
      </c>
      <c r="E11" s="4" t="n">
        <v>6</v>
      </c>
      <c r="F11">
        <f>SUM(C11:E11)</f>
        <v/>
      </c>
      <c r="G11" s="10">
        <f>C11/F11</f>
        <v/>
      </c>
      <c r="H11" s="10">
        <f>D11/F11</f>
        <v/>
      </c>
      <c r="I11" s="10">
        <f>E11/F11</f>
        <v/>
      </c>
    </row>
    <row r="12">
      <c r="A12" s="4" t="inlineStr">
        <is>
          <t>Mexico &amp; Colombia</t>
        </is>
      </c>
      <c r="B12" s="4" t="inlineStr">
        <is>
          <t>Services</t>
        </is>
      </c>
      <c r="C12" s="4" t="n">
        <v>40</v>
      </c>
      <c r="D12" s="4" t="n">
        <v>17</v>
      </c>
      <c r="E12" s="4" t="n">
        <v>26</v>
      </c>
      <c r="F12">
        <f>SUM(C12:E12)</f>
        <v/>
      </c>
      <c r="G12" s="10">
        <f>C12/F12</f>
        <v/>
      </c>
      <c r="H12" s="10">
        <f>D12/F12</f>
        <v/>
      </c>
      <c r="I12" s="10">
        <f>E12/F12</f>
        <v/>
      </c>
    </row>
    <row r="13">
      <c r="A13" s="4" t="inlineStr">
        <is>
          <t>France</t>
        </is>
      </c>
      <c r="B13" s="4" t="inlineStr">
        <is>
          <t>Office</t>
        </is>
      </c>
      <c r="C13" s="4" t="n">
        <v>0</v>
      </c>
      <c r="D13" s="4" t="n">
        <v>0</v>
      </c>
      <c r="E13" s="4" t="n">
        <v>18</v>
      </c>
      <c r="F13">
        <f>SUM(C13:E13)</f>
        <v/>
      </c>
      <c r="G13" s="10">
        <f>C13/F13</f>
        <v/>
      </c>
      <c r="H13" s="10">
        <f>D13/F13</f>
        <v/>
      </c>
      <c r="I13" s="10">
        <f>E13/F13</f>
        <v/>
      </c>
    </row>
    <row r="14">
      <c r="A14" s="4" t="inlineStr">
        <is>
          <t>France</t>
        </is>
      </c>
      <c r="B14" s="4" t="inlineStr">
        <is>
          <t>EPC</t>
        </is>
      </c>
      <c r="C14" s="4" t="n">
        <v>0</v>
      </c>
      <c r="D14" s="4" t="n">
        <v>1</v>
      </c>
      <c r="E14" s="4" t="n">
        <v>12</v>
      </c>
      <c r="F14">
        <f>SUM(C14:E14)</f>
        <v/>
      </c>
      <c r="G14" s="10">
        <f>C14/F14</f>
        <v/>
      </c>
      <c r="H14" s="10">
        <f>D14/F14</f>
        <v/>
      </c>
      <c r="I14" s="10">
        <f>E14/F14</f>
        <v/>
      </c>
    </row>
    <row r="15">
      <c r="A15" s="4" t="inlineStr">
        <is>
          <t>Greece &amp; Italy</t>
        </is>
      </c>
      <c r="B15" s="4" t="inlineStr">
        <is>
          <t>Office</t>
        </is>
      </c>
      <c r="C15" s="4" t="n">
        <v>37</v>
      </c>
      <c r="D15" s="4" t="n">
        <v>10</v>
      </c>
      <c r="E15" s="4" t="n">
        <v>8</v>
      </c>
      <c r="F15">
        <f>SUM(C15:E15)</f>
        <v/>
      </c>
      <c r="G15" s="10">
        <f>C15/F15</f>
        <v/>
      </c>
      <c r="H15" s="10">
        <f>D15/F15</f>
        <v/>
      </c>
      <c r="I15" s="10">
        <f>E15/F15</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cols>
    <col width="20" customWidth="1" min="1" max="1"/>
    <col width="34" customWidth="1" min="2" max="2"/>
    <col width="11" customWidth="1" min="3" max="3"/>
    <col width="9" customWidth="1" min="4" max="4"/>
    <col width="11" customWidth="1" min="5" max="5"/>
    <col width="9" customWidth="1" min="6" max="6"/>
    <col width="11" customWidth="1" min="7" max="7"/>
    <col width="9" customWidth="1" min="8" max="8"/>
    <col width="12" customWidth="1" min="9" max="9"/>
    <col width="12" customWidth="1" min="10" max="10"/>
    <col width="12" customWidth="1" min="11" max="11"/>
  </cols>
  <sheetData>
    <row r="1">
      <c r="A1" s="1" t="inlineStr">
        <is>
          <t>Share compliant by site and criticality (as charted)</t>
        </is>
      </c>
    </row>
    <row r="2">
      <c r="A2" s="2" t="inlineStr">
        <is>
          <t>Deck site figures; Mexico in-house services = deck aggregate of Iberdrola, Schneider and Braskem.</t>
        </is>
      </c>
    </row>
    <row r="4">
      <c r="A4" s="3" t="inlineStr">
        <is>
          <t>Cluster</t>
        </is>
      </c>
      <c r="B4" s="3" t="inlineStr">
        <is>
          <t>Site</t>
        </is>
      </c>
      <c r="C4" s="3" t="inlineStr">
        <is>
          <t>High · compliant</t>
        </is>
      </c>
      <c r="D4" s="3" t="inlineStr">
        <is>
          <t>High · total</t>
        </is>
      </c>
      <c r="E4" s="3" t="inlineStr">
        <is>
          <t>Medium · compliant</t>
        </is>
      </c>
      <c r="F4" s="3" t="inlineStr">
        <is>
          <t>Medium · total</t>
        </is>
      </c>
      <c r="G4" s="3" t="inlineStr">
        <is>
          <t>Low · compliant</t>
        </is>
      </c>
      <c r="H4" s="3" t="inlineStr">
        <is>
          <t>Low · total</t>
        </is>
      </c>
      <c r="I4" s="3" t="inlineStr">
        <is>
          <t>High · % compliant</t>
        </is>
      </c>
      <c r="J4" s="3" t="inlineStr">
        <is>
          <t>Medium · % compliant</t>
        </is>
      </c>
      <c r="K4" s="3" t="inlineStr">
        <is>
          <t>Low · % compliant</t>
        </is>
      </c>
    </row>
    <row r="5">
      <c r="A5" s="4" t="inlineStr">
        <is>
          <t>Spain &amp; Portugal</t>
        </is>
      </c>
      <c r="B5" s="4" t="inlineStr">
        <is>
          <t>Vitoria Factory</t>
        </is>
      </c>
      <c r="C5" s="4" t="n">
        <v>2</v>
      </c>
      <c r="D5" s="4" t="n">
        <v>26</v>
      </c>
      <c r="E5" s="4" t="n">
        <v>1</v>
      </c>
      <c r="F5" s="4" t="n">
        <v>18</v>
      </c>
      <c r="G5" s="4" t="n">
        <v>0</v>
      </c>
      <c r="H5" s="4" t="n">
        <v>2</v>
      </c>
      <c r="I5" s="9">
        <f>IF(D5=0,"–",C5/D5)</f>
        <v/>
      </c>
      <c r="J5" s="9">
        <f>IF(F5=0,"–",E5/F5)</f>
        <v/>
      </c>
      <c r="K5" s="9">
        <f>IF(H5=0,"–",G5/H5)</f>
        <v/>
      </c>
    </row>
    <row r="6">
      <c r="A6" s="4" t="inlineStr">
        <is>
          <t>Spain &amp; Portugal</t>
        </is>
      </c>
      <c r="B6" s="4" t="inlineStr">
        <is>
          <t>Meco Warehouse</t>
        </is>
      </c>
      <c r="C6" s="4" t="n">
        <v>16</v>
      </c>
      <c r="D6" s="4" t="n">
        <v>32</v>
      </c>
      <c r="E6" s="4" t="n">
        <v>8</v>
      </c>
      <c r="F6" s="4" t="n">
        <v>26</v>
      </c>
      <c r="G6" s="4" t="n">
        <v>0</v>
      </c>
      <c r="H6" s="4" t="n">
        <v>5</v>
      </c>
      <c r="I6" s="9">
        <f>IF(D6=0,"–",C6/D6)</f>
        <v/>
      </c>
      <c r="J6" s="9">
        <f>IF(F6=0,"–",E6/F6)</f>
        <v/>
      </c>
      <c r="K6" s="9">
        <f>IF(H6=0,"–",G6/H6)</f>
        <v/>
      </c>
    </row>
    <row r="7">
      <c r="A7" s="4" t="inlineStr">
        <is>
          <t>Spain &amp; Portugal</t>
        </is>
      </c>
      <c r="B7" s="4" t="inlineStr">
        <is>
          <t>Sevilla Warehouse</t>
        </is>
      </c>
      <c r="C7" s="4" t="n">
        <v>20</v>
      </c>
      <c r="D7" s="4" t="n">
        <v>35</v>
      </c>
      <c r="E7" s="4" t="n">
        <v>4</v>
      </c>
      <c r="F7" s="4" t="n">
        <v>19</v>
      </c>
      <c r="G7" s="4" t="n">
        <v>0</v>
      </c>
      <c r="H7" s="4" t="n">
        <v>0</v>
      </c>
      <c r="I7" s="9">
        <f>IF(D7=0,"–",C7/D7)</f>
        <v/>
      </c>
      <c r="J7" s="9">
        <f>IF(F7=0,"–",E7/F7)</f>
        <v/>
      </c>
      <c r="K7" s="9">
        <f>IF(H7=0,"–",G7/H7)</f>
        <v/>
      </c>
    </row>
    <row r="8">
      <c r="A8" s="4" t="inlineStr">
        <is>
          <t>Spain &amp; Portugal</t>
        </is>
      </c>
      <c r="B8" s="4" t="inlineStr">
        <is>
          <t>Valencia Warehouse</t>
        </is>
      </c>
      <c r="C8" s="4" t="n">
        <v>16</v>
      </c>
      <c r="D8" s="4" t="n">
        <v>25</v>
      </c>
      <c r="E8" s="4" t="n">
        <v>8</v>
      </c>
      <c r="F8" s="4" t="n">
        <v>27</v>
      </c>
      <c r="G8" s="4" t="n">
        <v>1</v>
      </c>
      <c r="H8" s="4" t="n">
        <v>10</v>
      </c>
      <c r="I8" s="9">
        <f>IF(D8=0,"–",C8/D8)</f>
        <v/>
      </c>
      <c r="J8" s="9">
        <f>IF(F8=0,"–",E8/F8)</f>
        <v/>
      </c>
      <c r="K8" s="9">
        <f>IF(H8=0,"–",G8/H8)</f>
        <v/>
      </c>
    </row>
    <row r="9">
      <c r="A9" s="4" t="inlineStr">
        <is>
          <t>Spain &amp; Portugal</t>
        </is>
      </c>
      <c r="B9" s="4" t="inlineStr">
        <is>
          <t>Burgos Warehouse</t>
        </is>
      </c>
      <c r="C9" s="4" t="n">
        <v>9</v>
      </c>
      <c r="D9" s="4" t="n">
        <v>17</v>
      </c>
      <c r="E9" s="4" t="n">
        <v>2</v>
      </c>
      <c r="F9" s="4" t="n">
        <v>21</v>
      </c>
      <c r="G9" s="4" t="n">
        <v>0</v>
      </c>
      <c r="H9" s="4" t="n">
        <v>11</v>
      </c>
      <c r="I9" s="9">
        <f>IF(D9=0,"–",C9/D9)</f>
        <v/>
      </c>
      <c r="J9" s="9">
        <f>IF(F9=0,"–",E9/F9)</f>
        <v/>
      </c>
      <c r="K9" s="9">
        <f>IF(H9=0,"–",G9/H9)</f>
        <v/>
      </c>
    </row>
    <row r="10">
      <c r="A10" s="4" t="inlineStr">
        <is>
          <t>Spain &amp; Portugal</t>
        </is>
      </c>
      <c r="B10" s="4" t="inlineStr">
        <is>
          <t>Andoain Warehouse</t>
        </is>
      </c>
      <c r="C10" s="4" t="n">
        <v>1</v>
      </c>
      <c r="D10" s="4" t="n">
        <v>21</v>
      </c>
      <c r="E10" s="4" t="n">
        <v>1</v>
      </c>
      <c r="F10" s="4" t="n">
        <v>24</v>
      </c>
      <c r="G10" s="4" t="n">
        <v>0</v>
      </c>
      <c r="H10" s="4" t="n">
        <v>4</v>
      </c>
      <c r="I10" s="9">
        <f>IF(D10=0,"–",C10/D10)</f>
        <v/>
      </c>
      <c r="J10" s="9">
        <f>IF(F10=0,"–",E10/F10)</f>
        <v/>
      </c>
      <c r="K10" s="9">
        <f>IF(H10=0,"–",G10/H10)</f>
        <v/>
      </c>
    </row>
    <row r="11">
      <c r="A11" s="4" t="inlineStr">
        <is>
          <t>Spain &amp; Portugal</t>
        </is>
      </c>
      <c r="B11" s="4" t="inlineStr">
        <is>
          <t>Madrid Office</t>
        </is>
      </c>
      <c r="C11" s="4" t="n">
        <v>8</v>
      </c>
      <c r="D11" s="4" t="n">
        <v>9</v>
      </c>
      <c r="E11" s="4" t="n">
        <v>0</v>
      </c>
      <c r="F11" s="4" t="n">
        <v>15</v>
      </c>
      <c r="G11" s="4" t="n">
        <v>3</v>
      </c>
      <c r="H11" s="4" t="n">
        <v>4</v>
      </c>
      <c r="I11" s="9">
        <f>IF(D11=0,"–",C11/D11)</f>
        <v/>
      </c>
      <c r="J11" s="9">
        <f>IF(F11=0,"–",E11/F11)</f>
        <v/>
      </c>
      <c r="K11" s="9">
        <f>IF(H11=0,"–",G11/H11)</f>
        <v/>
      </c>
    </row>
    <row r="12">
      <c r="A12" s="4" t="inlineStr">
        <is>
          <t>Spain &amp; Portugal</t>
        </is>
      </c>
      <c r="B12" s="4" t="inlineStr">
        <is>
          <t>A Coruña – Repsol in-house warehouse</t>
        </is>
      </c>
      <c r="C12" s="4" t="n">
        <v>8</v>
      </c>
      <c r="D12" s="4" t="n">
        <v>8</v>
      </c>
      <c r="E12" s="4" t="n">
        <v>2</v>
      </c>
      <c r="F12" s="4" t="n">
        <v>3</v>
      </c>
      <c r="G12" s="4" t="n">
        <v>0</v>
      </c>
      <c r="H12" s="4" t="n">
        <v>0</v>
      </c>
      <c r="I12" s="9">
        <f>IF(D12=0,"–",C12/D12)</f>
        <v/>
      </c>
      <c r="J12" s="9">
        <f>IF(F12=0,"–",E12/F12)</f>
        <v/>
      </c>
      <c r="K12" s="9">
        <f>IF(H12=0,"–",G12/H12)</f>
        <v/>
      </c>
    </row>
    <row r="13">
      <c r="A13" s="4" t="inlineStr">
        <is>
          <t>Spain &amp; Portugal</t>
        </is>
      </c>
      <c r="B13" s="4" t="inlineStr">
        <is>
          <t>Aveiro Office</t>
        </is>
      </c>
      <c r="C13" s="4" t="n">
        <v>4</v>
      </c>
      <c r="D13" s="4" t="n">
        <v>8</v>
      </c>
      <c r="E13" s="4" t="n">
        <v>11</v>
      </c>
      <c r="F13" s="4" t="n">
        <v>19</v>
      </c>
      <c r="G13" s="4" t="n">
        <v>2</v>
      </c>
      <c r="H13" s="4" t="n">
        <v>10</v>
      </c>
      <c r="I13" s="9">
        <f>IF(D13=0,"–",C13/D13)</f>
        <v/>
      </c>
      <c r="J13" s="9">
        <f>IF(F13=0,"–",E13/F13)</f>
        <v/>
      </c>
      <c r="K13" s="9">
        <f>IF(H13=0,"–",G13/H13)</f>
        <v/>
      </c>
    </row>
    <row r="14">
      <c r="A14" s="4" t="inlineStr">
        <is>
          <t>Mexico &amp; Colombia</t>
        </is>
      </c>
      <c r="B14" s="4" t="inlineStr">
        <is>
          <t>Monterrey Warehouse (owned)</t>
        </is>
      </c>
      <c r="C14" s="4" t="n">
        <v>23</v>
      </c>
      <c r="D14" s="4" t="n">
        <v>35</v>
      </c>
      <c r="E14" s="4" t="n">
        <v>22</v>
      </c>
      <c r="F14" s="4" t="n">
        <v>28</v>
      </c>
      <c r="G14" s="4" t="n">
        <v>8</v>
      </c>
      <c r="H14" s="4" t="n">
        <v>9</v>
      </c>
      <c r="I14" s="9">
        <f>IF(D14=0,"–",C14/D14)</f>
        <v/>
      </c>
      <c r="J14" s="9">
        <f>IF(F14=0,"–",E14/F14)</f>
        <v/>
      </c>
      <c r="K14" s="9">
        <f>IF(H14=0,"–",G14/H14)</f>
        <v/>
      </c>
    </row>
    <row r="15">
      <c r="A15" s="4" t="inlineStr">
        <is>
          <t>Mexico &amp; Colombia</t>
        </is>
      </c>
      <c r="B15" s="4" t="inlineStr">
        <is>
          <t>CDMX Office</t>
        </is>
      </c>
      <c r="C15" s="4" t="n">
        <v>22</v>
      </c>
      <c r="D15" s="4" t="n">
        <v>25</v>
      </c>
      <c r="E15" s="4" t="n">
        <v>7</v>
      </c>
      <c r="F15" s="4" t="n">
        <v>11</v>
      </c>
      <c r="G15" s="4" t="n">
        <v>6</v>
      </c>
      <c r="H15" s="4" t="n">
        <v>7</v>
      </c>
      <c r="I15" s="9">
        <f>IF(D15=0,"–",C15/D15)</f>
        <v/>
      </c>
      <c r="J15" s="9">
        <f>IF(F15=0,"–",E15/F15)</f>
        <v/>
      </c>
      <c r="K15" s="9">
        <f>IF(H15=0,"–",G15/H15)</f>
        <v/>
      </c>
    </row>
    <row r="16">
      <c r="A16" s="4" t="inlineStr">
        <is>
          <t>Mexico &amp; Colombia</t>
        </is>
      </c>
      <c r="B16" s="4" t="inlineStr">
        <is>
          <t>EPC INOAC</t>
        </is>
      </c>
      <c r="C16" s="4" t="n">
        <v>13</v>
      </c>
      <c r="D16" s="4" t="n">
        <v>16</v>
      </c>
      <c r="E16" s="4" t="n">
        <v>7</v>
      </c>
      <c r="F16" s="4" t="n">
        <v>12</v>
      </c>
      <c r="G16" s="4" t="n">
        <v>7</v>
      </c>
      <c r="H16" s="4" t="n">
        <v>8</v>
      </c>
      <c r="I16" s="9">
        <f>IF(D16=0,"–",C16/D16)</f>
        <v/>
      </c>
      <c r="J16" s="9">
        <f>IF(F16=0,"–",E16/F16)</f>
        <v/>
      </c>
      <c r="K16" s="9">
        <f>IF(H16=0,"–",G16/H16)</f>
        <v/>
      </c>
    </row>
    <row r="17">
      <c r="A17" s="4" t="inlineStr">
        <is>
          <t>Mexico &amp; Colombia</t>
        </is>
      </c>
      <c r="B17" s="4" t="inlineStr">
        <is>
          <t>Mexico in-house services</t>
        </is>
      </c>
      <c r="C17" s="4" t="n">
        <v>16</v>
      </c>
      <c r="D17" s="4" t="n">
        <v>36</v>
      </c>
      <c r="E17" s="4" t="n">
        <v>17</v>
      </c>
      <c r="F17" s="4" t="n">
        <v>30</v>
      </c>
      <c r="G17" s="4" t="n">
        <v>7</v>
      </c>
      <c r="H17" s="4" t="n">
        <v>17</v>
      </c>
      <c r="I17" s="9">
        <f>IF(D17=0,"–",C17/D17)</f>
        <v/>
      </c>
      <c r="J17" s="9">
        <f>IF(F17=0,"–",E17/F17)</f>
        <v/>
      </c>
      <c r="K17" s="9">
        <f>IF(H17=0,"–",G17/H17)</f>
        <v/>
      </c>
    </row>
    <row r="18">
      <c r="A18" s="4" t="inlineStr">
        <is>
          <t>Mexico &amp; Colombia</t>
        </is>
      </c>
      <c r="B18" s="4" t="inlineStr">
        <is>
          <t>EPC Solar project</t>
        </is>
      </c>
      <c r="C18" s="4" t="n">
        <v>6</v>
      </c>
      <c r="D18" s="4" t="n">
        <v>16</v>
      </c>
      <c r="E18" s="4" t="n">
        <v>3</v>
      </c>
      <c r="F18" s="4" t="n">
        <v>19</v>
      </c>
      <c r="G18" s="4" t="n">
        <v>1</v>
      </c>
      <c r="H18" s="4" t="n">
        <v>4</v>
      </c>
      <c r="I18" s="9">
        <f>IF(D18=0,"–",C18/D18)</f>
        <v/>
      </c>
      <c r="J18" s="9">
        <f>IF(F18=0,"–",E18/F18)</f>
        <v/>
      </c>
      <c r="K18" s="9">
        <f>IF(H18=0,"–",G18/H18)</f>
        <v/>
      </c>
    </row>
    <row r="19">
      <c r="A19" s="4" t="inlineStr">
        <is>
          <t>Mexico &amp; Colombia</t>
        </is>
      </c>
      <c r="B19" s="4" t="inlineStr">
        <is>
          <t>Home-office (teleworking)</t>
        </is>
      </c>
      <c r="C19" s="4" t="n">
        <v>3</v>
      </c>
      <c r="D19" s="4" t="n">
        <v>5</v>
      </c>
      <c r="E19" s="4" t="n">
        <v>1</v>
      </c>
      <c r="F19" s="4" t="n">
        <v>4</v>
      </c>
      <c r="G19" s="4" t="n">
        <v>1</v>
      </c>
      <c r="H19" s="4" t="n">
        <v>12</v>
      </c>
      <c r="I19" s="9">
        <f>IF(D19=0,"–",C19/D19)</f>
        <v/>
      </c>
      <c r="J19" s="9">
        <f>IF(F19=0,"–",E19/F19)</f>
        <v/>
      </c>
      <c r="K19" s="9">
        <f>IF(H19=0,"–",G19/H19)</f>
        <v/>
      </c>
    </row>
    <row r="20">
      <c r="A20" s="4" t="inlineStr">
        <is>
          <t>France</t>
        </is>
      </c>
      <c r="B20" s="4" t="inlineStr">
        <is>
          <t>Villeurbanne Office</t>
        </is>
      </c>
      <c r="C20" s="4" t="n">
        <v>0</v>
      </c>
      <c r="D20" s="4" t="n">
        <v>3</v>
      </c>
      <c r="E20" s="4" t="n">
        <v>0</v>
      </c>
      <c r="F20" s="4" t="n">
        <v>5</v>
      </c>
      <c r="G20" s="4" t="n">
        <v>0</v>
      </c>
      <c r="H20" s="4" t="n">
        <v>10</v>
      </c>
      <c r="I20" s="9">
        <f>IF(D20=0,"–",C20/D20)</f>
        <v/>
      </c>
      <c r="J20" s="9">
        <f>IF(F20=0,"–",E20/F20)</f>
        <v/>
      </c>
      <c r="K20" s="9">
        <f>IF(H20=0,"–",G20/H20)</f>
        <v/>
      </c>
    </row>
    <row r="21">
      <c r="A21" s="4" t="inlineStr">
        <is>
          <t>France</t>
        </is>
      </c>
      <c r="B21" s="4" t="inlineStr">
        <is>
          <t>EPC – subcontractor &amp; logistics</t>
        </is>
      </c>
      <c r="C21" s="4" t="n">
        <v>0</v>
      </c>
      <c r="D21" s="4" t="n">
        <v>6</v>
      </c>
      <c r="E21" s="4" t="n">
        <v>0</v>
      </c>
      <c r="F21" s="4" t="n">
        <v>4</v>
      </c>
      <c r="G21" s="4" t="n">
        <v>0</v>
      </c>
      <c r="H21" s="4" t="n">
        <v>3</v>
      </c>
      <c r="I21" s="9">
        <f>IF(D21=0,"–",C21/D21)</f>
        <v/>
      </c>
      <c r="J21" s="9">
        <f>IF(F21=0,"–",E21/F21)</f>
        <v/>
      </c>
      <c r="K21" s="9">
        <f>IF(H21=0,"–",G21/H21)</f>
        <v/>
      </c>
    </row>
    <row r="22">
      <c r="A22" s="4" t="inlineStr">
        <is>
          <t>Greece &amp; Italy</t>
        </is>
      </c>
      <c r="B22" s="4" t="inlineStr">
        <is>
          <t>Athens Office</t>
        </is>
      </c>
      <c r="C22" s="4" t="n">
        <v>4</v>
      </c>
      <c r="D22" s="4" t="n">
        <v>7</v>
      </c>
      <c r="E22" s="4" t="n">
        <v>4</v>
      </c>
      <c r="F22" s="4" t="n">
        <v>8</v>
      </c>
      <c r="G22" s="4" t="n">
        <v>1</v>
      </c>
      <c r="H22" s="4" t="n">
        <v>3</v>
      </c>
      <c r="I22" s="9">
        <f>IF(D22=0,"–",C22/D22)</f>
        <v/>
      </c>
      <c r="J22" s="9">
        <f>IF(F22=0,"–",E22/F22)</f>
        <v/>
      </c>
      <c r="K22" s="9">
        <f>IF(H22=0,"–",G22/H22)</f>
        <v/>
      </c>
    </row>
    <row r="23">
      <c r="A23" s="4" t="inlineStr">
        <is>
          <t>Greece &amp; Italy</t>
        </is>
      </c>
      <c r="B23" s="4" t="inlineStr">
        <is>
          <t>Buccinasco Office (HQ)</t>
        </is>
      </c>
      <c r="C23" s="4" t="n">
        <v>11</v>
      </c>
      <c r="D23" s="4" t="n">
        <v>13</v>
      </c>
      <c r="E23" s="4" t="n">
        <v>14</v>
      </c>
      <c r="F23" s="4" t="n">
        <v>17</v>
      </c>
      <c r="G23" s="4" t="n">
        <v>3</v>
      </c>
      <c r="H23" s="4" t="n">
        <v>7</v>
      </c>
      <c r="I23" s="9">
        <f>IF(D23=0,"–",C23/D23)</f>
        <v/>
      </c>
      <c r="J23" s="9">
        <f>IF(F23=0,"–",E23/F23)</f>
        <v/>
      </c>
      <c r="K23" s="9">
        <f>IF(H23=0,"–",G23/H23)</f>
        <v/>
      </c>
    </row>
  </sheetData>
  <conditionalFormatting sqref="I5:K23">
    <cfRule type="colorScale" priority="1">
      <colorScale>
        <cfvo type="num" val="0"/>
        <cfvo type="num" val="0.5"/>
        <cfvo type="num" val="1"/>
        <color rgb="00E24B47"/>
        <color rgb="00F6D48A"/>
        <color rgb="001FA276"/>
      </colorScale>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20" customWidth="1" min="2" max="2"/>
    <col width="10" customWidth="1" min="3" max="3"/>
    <col width="11" customWidth="1" min="4" max="4"/>
    <col width="12" customWidth="1" min="5" max="5"/>
    <col width="13" customWidth="1" min="6" max="6"/>
    <col width="9" customWidth="1" min="7" max="7"/>
  </cols>
  <sheetData>
    <row r="1">
      <c r="A1" s="1" t="inlineStr">
        <is>
          <t>Compliance status by HIGH criticality per type of business in the different clusters</t>
        </is>
      </c>
    </row>
    <row r="2">
      <c r="A2" s="2" t="inlineStr">
        <is>
          <t>Global deck pp.12–13.</t>
        </is>
      </c>
    </row>
    <row r="4">
      <c r="A4" s="3" t="inlineStr">
        <is>
          <t>Type of business</t>
        </is>
      </c>
      <c r="B4" s="3" t="inlineStr">
        <is>
          <t>Cluster</t>
        </is>
      </c>
      <c r="C4" s="3" t="inlineStr">
        <is>
          <t>Countries</t>
        </is>
      </c>
      <c r="D4" s="3" t="inlineStr">
        <is>
          <t>Compliant</t>
        </is>
      </c>
      <c r="E4" s="3" t="inlineStr">
        <is>
          <t>Partially compliant</t>
        </is>
      </c>
      <c r="F4" s="3" t="inlineStr">
        <is>
          <t>Non-compliant</t>
        </is>
      </c>
      <c r="G4" s="3" t="inlineStr">
        <is>
          <t>Total</t>
        </is>
      </c>
      <c r="I4" s="8" t="inlineStr">
        <is>
          <t>Chart label</t>
        </is>
      </c>
    </row>
    <row r="5">
      <c r="A5" s="4" t="inlineStr">
        <is>
          <t>Office</t>
        </is>
      </c>
      <c r="B5" s="4" t="inlineStr">
        <is>
          <t>France</t>
        </is>
      </c>
      <c r="C5" s="4" t="inlineStr">
        <is>
          <t>FR</t>
        </is>
      </c>
      <c r="D5" s="4" t="n">
        <v>0</v>
      </c>
      <c r="E5" s="4" t="n">
        <v>0</v>
      </c>
      <c r="F5" s="4" t="n">
        <v>3</v>
      </c>
      <c r="G5" s="4">
        <f>SUM(D5:F5)</f>
        <v/>
      </c>
      <c r="I5">
        <f>A5&amp;" · "&amp;C5</f>
        <v/>
      </c>
    </row>
    <row r="6">
      <c r="A6" s="4" t="inlineStr">
        <is>
          <t>Office</t>
        </is>
      </c>
      <c r="B6" s="4" t="inlineStr">
        <is>
          <t>Greece &amp; Italy</t>
        </is>
      </c>
      <c r="C6" s="4" t="inlineStr">
        <is>
          <t>GR + IT</t>
        </is>
      </c>
      <c r="D6" s="4" t="n">
        <v>15</v>
      </c>
      <c r="E6" s="4" t="n">
        <v>2</v>
      </c>
      <c r="F6" s="4" t="n">
        <v>3</v>
      </c>
      <c r="G6" s="4">
        <f>SUM(D6:F6)</f>
        <v/>
      </c>
      <c r="I6">
        <f>A6&amp;" · "&amp;C6</f>
        <v/>
      </c>
    </row>
    <row r="7">
      <c r="A7" s="4" t="inlineStr">
        <is>
          <t>Office</t>
        </is>
      </c>
      <c r="B7" s="4" t="inlineStr">
        <is>
          <t>Mexico &amp; Colombia</t>
        </is>
      </c>
      <c r="C7" s="4" t="inlineStr">
        <is>
          <t>MX + CO</t>
        </is>
      </c>
      <c r="D7" s="4" t="n">
        <v>25</v>
      </c>
      <c r="E7" s="4" t="n">
        <v>2</v>
      </c>
      <c r="F7" s="4" t="n">
        <v>3</v>
      </c>
      <c r="G7" s="4">
        <f>SUM(D7:F7)</f>
        <v/>
      </c>
      <c r="I7">
        <f>A7&amp;" · "&amp;C7</f>
        <v/>
      </c>
    </row>
    <row r="8">
      <c r="A8" s="4" t="inlineStr">
        <is>
          <t>Office</t>
        </is>
      </c>
      <c r="B8" s="4" t="inlineStr">
        <is>
          <t>Spain &amp; Portugal</t>
        </is>
      </c>
      <c r="C8" s="4" t="inlineStr">
        <is>
          <t>ES + PT</t>
        </is>
      </c>
      <c r="D8" s="4" t="n">
        <v>12</v>
      </c>
      <c r="E8" s="4" t="n">
        <v>3</v>
      </c>
      <c r="F8" s="4" t="n">
        <v>2</v>
      </c>
      <c r="G8" s="4">
        <f>SUM(D8:F8)</f>
        <v/>
      </c>
      <c r="I8">
        <f>A8&amp;" · "&amp;C8</f>
        <v/>
      </c>
    </row>
    <row r="9">
      <c r="A9" s="4" t="inlineStr">
        <is>
          <t>EPC</t>
        </is>
      </c>
      <c r="B9" s="4" t="inlineStr">
        <is>
          <t>France</t>
        </is>
      </c>
      <c r="C9" s="4" t="inlineStr">
        <is>
          <t>FR</t>
        </is>
      </c>
      <c r="D9" s="4" t="n">
        <v>0</v>
      </c>
      <c r="E9" s="4" t="n">
        <v>1</v>
      </c>
      <c r="F9" s="4" t="n">
        <v>5</v>
      </c>
      <c r="G9" s="4">
        <f>SUM(D9:F9)</f>
        <v/>
      </c>
      <c r="I9">
        <f>A9&amp;" · "&amp;C9</f>
        <v/>
      </c>
    </row>
    <row r="10">
      <c r="A10" s="4" t="inlineStr">
        <is>
          <t>EPC</t>
        </is>
      </c>
      <c r="B10" s="4" t="inlineStr">
        <is>
          <t>Mexico &amp; Colombia</t>
        </is>
      </c>
      <c r="C10" s="4" t="inlineStr">
        <is>
          <t>MX + CO</t>
        </is>
      </c>
      <c r="D10" s="4" t="n">
        <v>19</v>
      </c>
      <c r="E10" s="4" t="n">
        <v>0</v>
      </c>
      <c r="F10" s="4" t="n">
        <v>13</v>
      </c>
      <c r="G10" s="4">
        <f>SUM(D10:F10)</f>
        <v/>
      </c>
      <c r="I10">
        <f>A10&amp;" · "&amp;C10</f>
        <v/>
      </c>
    </row>
    <row r="11">
      <c r="A11" s="4" t="inlineStr">
        <is>
          <t>Factory</t>
        </is>
      </c>
      <c r="B11" s="4" t="inlineStr">
        <is>
          <t>Spain &amp; Portugal</t>
        </is>
      </c>
      <c r="C11" s="4" t="inlineStr">
        <is>
          <t>ES</t>
        </is>
      </c>
      <c r="D11" s="4" t="n">
        <v>2</v>
      </c>
      <c r="E11" s="4" t="n">
        <v>15</v>
      </c>
      <c r="F11" s="4" t="n">
        <v>9</v>
      </c>
      <c r="G11" s="4">
        <f>SUM(D11:F11)</f>
        <v/>
      </c>
      <c r="I11">
        <f>A11&amp;" · "&amp;C11</f>
        <v/>
      </c>
    </row>
    <row r="12">
      <c r="A12" s="4" t="inlineStr">
        <is>
          <t>Warehouse</t>
        </is>
      </c>
      <c r="B12" s="4" t="inlineStr">
        <is>
          <t>Mexico &amp; Colombia</t>
        </is>
      </c>
      <c r="C12" s="4" t="inlineStr">
        <is>
          <t>MX</t>
        </is>
      </c>
      <c r="D12" s="4" t="n">
        <v>23</v>
      </c>
      <c r="E12" s="4" t="n">
        <v>7</v>
      </c>
      <c r="F12" s="4" t="n">
        <v>5</v>
      </c>
      <c r="G12" s="4">
        <f>SUM(D12:F12)</f>
        <v/>
      </c>
      <c r="I12">
        <f>A12&amp;" · "&amp;C12</f>
        <v/>
      </c>
    </row>
    <row r="13">
      <c r="A13" s="4" t="inlineStr">
        <is>
          <t>Warehouse</t>
        </is>
      </c>
      <c r="B13" s="4" t="inlineStr">
        <is>
          <t>Spain &amp; Portugal</t>
        </is>
      </c>
      <c r="C13" s="4" t="inlineStr">
        <is>
          <t>ES</t>
        </is>
      </c>
      <c r="D13" s="4" t="n">
        <v>62</v>
      </c>
      <c r="E13" s="4" t="n">
        <v>35</v>
      </c>
      <c r="F13" s="4" t="n">
        <v>33</v>
      </c>
      <c r="G13" s="4">
        <f>SUM(D13:F13)</f>
        <v/>
      </c>
      <c r="I13">
        <f>A13&amp;" · "&amp;C13</f>
        <v/>
      </c>
    </row>
    <row r="14">
      <c r="A14" s="4" t="inlineStr">
        <is>
          <t>Services</t>
        </is>
      </c>
      <c r="B14" s="4" t="inlineStr">
        <is>
          <t>Mexico &amp; Colombia</t>
        </is>
      </c>
      <c r="C14" s="4" t="inlineStr">
        <is>
          <t>MX</t>
        </is>
      </c>
      <c r="D14" s="4" t="n">
        <v>16</v>
      </c>
      <c r="E14" s="4" t="n">
        <v>7</v>
      </c>
      <c r="F14" s="4" t="n">
        <v>13</v>
      </c>
      <c r="G14" s="4">
        <f>SUM(D14:F14)</f>
        <v/>
      </c>
      <c r="I14">
        <f>A14&amp;" · "&amp;C14</f>
        <v/>
      </c>
    </row>
    <row r="15">
      <c r="A15" s="4" t="inlineStr">
        <is>
          <t>Services</t>
        </is>
      </c>
      <c r="B15" s="4" t="inlineStr">
        <is>
          <t>Spain &amp; Portugal</t>
        </is>
      </c>
      <c r="C15" s="4" t="inlineStr">
        <is>
          <t>ES</t>
        </is>
      </c>
      <c r="D15" s="4" t="n">
        <v>10</v>
      </c>
      <c r="E15" s="4" t="n">
        <v>0</v>
      </c>
      <c r="F15" s="4" t="n">
        <v>0</v>
      </c>
      <c r="G15" s="4">
        <f>SUM(D15:F15)</f>
        <v/>
      </c>
      <c r="I15">
        <f>A15&amp;" · "&amp;C15</f>
        <v/>
      </c>
    </row>
    <row r="16">
      <c r="C16" s="6" t="inlineStr">
        <is>
          <t>Total</t>
        </is>
      </c>
      <c r="D16" s="6">
        <f>SUM(D5:D15)</f>
        <v/>
      </c>
      <c r="E16" s="6">
        <f>SUM(E5:E15)</f>
        <v/>
      </c>
      <c r="F16" s="6">
        <f>SUM(F5:F15)</f>
        <v/>
      </c>
      <c r="G16" s="6">
        <f>SUM(G5:G15)</f>
        <v/>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16" customWidth="1" min="1" max="1"/>
    <col width="12" customWidth="1" min="2" max="2"/>
    <col width="18" customWidth="1" min="3" max="3"/>
    <col width="14" customWidth="1" min="4" max="4"/>
    <col width="9" customWidth="1" min="5" max="5"/>
  </cols>
  <sheetData>
    <row r="1">
      <c r="A1" s="1" t="inlineStr">
        <is>
          <t>High criticality by type of business · one chart per cluster (deck)</t>
        </is>
      </c>
    </row>
    <row r="4">
      <c r="A4" s="7" t="inlineStr">
        <is>
          <t>Spain &amp; Portugal</t>
        </is>
      </c>
    </row>
    <row r="5">
      <c r="A5" s="3" t="inlineStr">
        <is>
          <t>Type of business</t>
        </is>
      </c>
      <c r="B5" s="3" t="inlineStr">
        <is>
          <t>Compliant</t>
        </is>
      </c>
      <c r="C5" s="3" t="inlineStr">
        <is>
          <t>Partially compliant</t>
        </is>
      </c>
      <c r="D5" s="3" t="inlineStr">
        <is>
          <t>Non-compliant</t>
        </is>
      </c>
      <c r="E5" s="3" t="inlineStr">
        <is>
          <t>Total</t>
        </is>
      </c>
    </row>
    <row r="6">
      <c r="A6" s="4" t="inlineStr">
        <is>
          <t>Office</t>
        </is>
      </c>
      <c r="B6" s="4" t="n">
        <v>12</v>
      </c>
      <c r="C6" s="4" t="n">
        <v>3</v>
      </c>
      <c r="D6" s="4" t="n">
        <v>2</v>
      </c>
      <c r="E6" s="4">
        <f>SUM(B6:D6)</f>
        <v/>
      </c>
    </row>
    <row r="7">
      <c r="A7" s="4" t="inlineStr">
        <is>
          <t>Factory</t>
        </is>
      </c>
      <c r="B7" s="4" t="n">
        <v>2</v>
      </c>
      <c r="C7" s="4" t="n">
        <v>15</v>
      </c>
      <c r="D7" s="4" t="n">
        <v>9</v>
      </c>
      <c r="E7" s="4">
        <f>SUM(B7:D7)</f>
        <v/>
      </c>
    </row>
    <row r="8">
      <c r="A8" s="4" t="inlineStr">
        <is>
          <t>Warehouse</t>
        </is>
      </c>
      <c r="B8" s="4" t="n">
        <v>62</v>
      </c>
      <c r="C8" s="4" t="n">
        <v>35</v>
      </c>
      <c r="D8" s="4" t="n">
        <v>33</v>
      </c>
      <c r="E8" s="4">
        <f>SUM(B8:D8)</f>
        <v/>
      </c>
    </row>
    <row r="9">
      <c r="A9" s="4" t="inlineStr">
        <is>
          <t>Services</t>
        </is>
      </c>
      <c r="B9" s="4" t="n">
        <v>10</v>
      </c>
      <c r="C9" s="4" t="n">
        <v>0</v>
      </c>
      <c r="D9" s="4" t="n">
        <v>0</v>
      </c>
      <c r="E9" s="4">
        <f>SUM(B9:D9)</f>
        <v/>
      </c>
    </row>
    <row r="21">
      <c r="A21" s="7" t="inlineStr">
        <is>
          <t>Mexico &amp; Colombia</t>
        </is>
      </c>
    </row>
    <row r="22">
      <c r="A22" s="3" t="inlineStr">
        <is>
          <t>Type of business</t>
        </is>
      </c>
      <c r="B22" s="3" t="inlineStr">
        <is>
          <t>Compliant</t>
        </is>
      </c>
      <c r="C22" s="3" t="inlineStr">
        <is>
          <t>Partially compliant</t>
        </is>
      </c>
      <c r="D22" s="3" t="inlineStr">
        <is>
          <t>Non-compliant</t>
        </is>
      </c>
      <c r="E22" s="3" t="inlineStr">
        <is>
          <t>Total</t>
        </is>
      </c>
    </row>
    <row r="23">
      <c r="A23" s="4" t="inlineStr">
        <is>
          <t>Office</t>
        </is>
      </c>
      <c r="B23" s="4" t="n">
        <v>25</v>
      </c>
      <c r="C23" s="4" t="n">
        <v>2</v>
      </c>
      <c r="D23" s="4" t="n">
        <v>3</v>
      </c>
      <c r="E23" s="4">
        <f>SUM(B23:D23)</f>
        <v/>
      </c>
    </row>
    <row r="24">
      <c r="A24" s="4" t="inlineStr">
        <is>
          <t>EPC</t>
        </is>
      </c>
      <c r="B24" s="4" t="n">
        <v>19</v>
      </c>
      <c r="C24" s="4" t="n">
        <v>0</v>
      </c>
      <c r="D24" s="4" t="n">
        <v>13</v>
      </c>
      <c r="E24" s="4">
        <f>SUM(B24:D24)</f>
        <v/>
      </c>
    </row>
    <row r="25">
      <c r="A25" s="4" t="inlineStr">
        <is>
          <t>Warehouse</t>
        </is>
      </c>
      <c r="B25" s="4" t="n">
        <v>23</v>
      </c>
      <c r="C25" s="4" t="n">
        <v>7</v>
      </c>
      <c r="D25" s="4" t="n">
        <v>5</v>
      </c>
      <c r="E25" s="4">
        <f>SUM(B25:D25)</f>
        <v/>
      </c>
    </row>
    <row r="26">
      <c r="A26" s="4" t="inlineStr">
        <is>
          <t>Services</t>
        </is>
      </c>
      <c r="B26" s="4" t="n">
        <v>16</v>
      </c>
      <c r="C26" s="4" t="n">
        <v>7</v>
      </c>
      <c r="D26" s="4" t="n">
        <v>13</v>
      </c>
      <c r="E26" s="4">
        <f>SUM(B26:D26)</f>
        <v/>
      </c>
    </row>
    <row r="38">
      <c r="A38" s="7" t="inlineStr">
        <is>
          <t>France</t>
        </is>
      </c>
    </row>
    <row r="39">
      <c r="A39" s="3" t="inlineStr">
        <is>
          <t>Type of business</t>
        </is>
      </c>
      <c r="B39" s="3" t="inlineStr">
        <is>
          <t>Compliant</t>
        </is>
      </c>
      <c r="C39" s="3" t="inlineStr">
        <is>
          <t>Partially compliant</t>
        </is>
      </c>
      <c r="D39" s="3" t="inlineStr">
        <is>
          <t>Non-compliant</t>
        </is>
      </c>
      <c r="E39" s="3" t="inlineStr">
        <is>
          <t>Total</t>
        </is>
      </c>
    </row>
    <row r="40">
      <c r="A40" s="4" t="inlineStr">
        <is>
          <t>Office</t>
        </is>
      </c>
      <c r="B40" s="4" t="n">
        <v>0</v>
      </c>
      <c r="C40" s="4" t="n">
        <v>0</v>
      </c>
      <c r="D40" s="4" t="n">
        <v>3</v>
      </c>
      <c r="E40" s="4">
        <f>SUM(B40:D40)</f>
        <v/>
      </c>
    </row>
    <row r="41">
      <c r="A41" s="4" t="inlineStr">
        <is>
          <t>EPC</t>
        </is>
      </c>
      <c r="B41" s="4" t="n">
        <v>0</v>
      </c>
      <c r="C41" s="4" t="n">
        <v>1</v>
      </c>
      <c r="D41" s="4" t="n">
        <v>5</v>
      </c>
      <c r="E41" s="4">
        <f>SUM(B41:D41)</f>
        <v/>
      </c>
    </row>
    <row r="55">
      <c r="A55" s="7" t="inlineStr">
        <is>
          <t>Greece &amp; Italy</t>
        </is>
      </c>
    </row>
    <row r="56">
      <c r="A56" s="3" t="inlineStr">
        <is>
          <t>Type of business</t>
        </is>
      </c>
      <c r="B56" s="3" t="inlineStr">
        <is>
          <t>Compliant</t>
        </is>
      </c>
      <c r="C56" s="3" t="inlineStr">
        <is>
          <t>Partially compliant</t>
        </is>
      </c>
      <c r="D56" s="3" t="inlineStr">
        <is>
          <t>Non-compliant</t>
        </is>
      </c>
      <c r="E56" s="3" t="inlineStr">
        <is>
          <t>Total</t>
        </is>
      </c>
    </row>
    <row r="57">
      <c r="A57" s="4" t="inlineStr">
        <is>
          <t>Office</t>
        </is>
      </c>
      <c r="B57" s="4" t="n">
        <v>15</v>
      </c>
      <c r="C57" s="4" t="n">
        <v>2</v>
      </c>
      <c r="D57" s="4" t="n">
        <v>3</v>
      </c>
      <c r="E57" s="4">
        <f>SUM(B57:D57)</f>
        <v/>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min="1" max="1"/>
    <col width="11" customWidth="1" min="2" max="2"/>
    <col width="12" customWidth="1" min="3" max="3"/>
    <col width="13" customWidth="1" min="4" max="4"/>
    <col width="9" customWidth="1" min="5" max="5"/>
    <col width="11" customWidth="1" min="6" max="6"/>
    <col width="10" customWidth="1" min="7" max="7"/>
    <col width="13" customWidth="1" min="8" max="8"/>
  </cols>
  <sheetData>
    <row r="1">
      <c r="A1" s="1" t="inlineStr">
        <is>
          <t>High-criticality compliance mix · per cluster and per type of business</t>
        </is>
      </c>
    </row>
    <row r="4">
      <c r="A4" s="3" t="inlineStr">
        <is>
          <t>Cluster</t>
        </is>
      </c>
      <c r="B4" s="3" t="inlineStr">
        <is>
          <t>Compliant</t>
        </is>
      </c>
      <c r="C4" s="3" t="inlineStr">
        <is>
          <t>Partially compliant</t>
        </is>
      </c>
      <c r="D4" s="3" t="inlineStr">
        <is>
          <t>Non-compliant</t>
        </is>
      </c>
      <c r="E4" s="3" t="inlineStr">
        <is>
          <t>Total</t>
        </is>
      </c>
      <c r="F4" s="3" t="inlineStr">
        <is>
          <t>% compliant</t>
        </is>
      </c>
      <c r="G4" s="3" t="inlineStr">
        <is>
          <t>% partial</t>
        </is>
      </c>
      <c r="H4" s="3" t="inlineStr">
        <is>
          <t>% non-compliant</t>
        </is>
      </c>
    </row>
    <row r="5">
      <c r="A5" s="4" t="inlineStr">
        <is>
          <t>Spain &amp; Portugal</t>
        </is>
      </c>
      <c r="B5" s="4" t="n">
        <v>86</v>
      </c>
      <c r="C5" s="4" t="n">
        <v>53</v>
      </c>
      <c r="D5" s="4" t="n">
        <v>44</v>
      </c>
      <c r="E5" s="4">
        <f>SUM(B5:D5)</f>
        <v/>
      </c>
      <c r="F5" s="9">
        <f>B5/E5</f>
        <v/>
      </c>
      <c r="G5" s="9">
        <f>C5/E5</f>
        <v/>
      </c>
      <c r="H5" s="9">
        <f>D5/E5</f>
        <v/>
      </c>
    </row>
    <row r="6">
      <c r="A6" s="4" t="inlineStr">
        <is>
          <t>Mexico &amp; Colombia</t>
        </is>
      </c>
      <c r="B6" s="4" t="n">
        <v>83</v>
      </c>
      <c r="C6" s="4" t="n">
        <v>16</v>
      </c>
      <c r="D6" s="4" t="n">
        <v>34</v>
      </c>
      <c r="E6" s="4">
        <f>SUM(B6:D6)</f>
        <v/>
      </c>
      <c r="F6" s="9">
        <f>B6/E6</f>
        <v/>
      </c>
      <c r="G6" s="9">
        <f>C6/E6</f>
        <v/>
      </c>
      <c r="H6" s="9">
        <f>D6/E6</f>
        <v/>
      </c>
    </row>
    <row r="7">
      <c r="A7" s="4" t="inlineStr">
        <is>
          <t>France</t>
        </is>
      </c>
      <c r="B7" s="4" t="n">
        <v>0</v>
      </c>
      <c r="C7" s="4" t="n">
        <v>1</v>
      </c>
      <c r="D7" s="4" t="n">
        <v>8</v>
      </c>
      <c r="E7" s="4">
        <f>SUM(B7:D7)</f>
        <v/>
      </c>
      <c r="F7" s="9">
        <f>B7/E7</f>
        <v/>
      </c>
      <c r="G7" s="9">
        <f>C7/E7</f>
        <v/>
      </c>
      <c r="H7" s="9">
        <f>D7/E7</f>
        <v/>
      </c>
    </row>
    <row r="8">
      <c r="A8" s="4" t="inlineStr">
        <is>
          <t>Greece &amp; Italy</t>
        </is>
      </c>
      <c r="B8" s="4" t="n">
        <v>15</v>
      </c>
      <c r="C8" s="4" t="n">
        <v>2</v>
      </c>
      <c r="D8" s="4" t="n">
        <v>3</v>
      </c>
      <c r="E8" s="4">
        <f>SUM(B8:D8)</f>
        <v/>
      </c>
      <c r="F8" s="9">
        <f>B8/E8</f>
        <v/>
      </c>
      <c r="G8" s="9">
        <f>C8/E8</f>
        <v/>
      </c>
      <c r="H8" s="9">
        <f>D8/E8</f>
        <v/>
      </c>
    </row>
    <row r="12">
      <c r="A12" s="3" t="inlineStr">
        <is>
          <t>Type of business</t>
        </is>
      </c>
      <c r="B12" s="3" t="inlineStr">
        <is>
          <t>Compliant</t>
        </is>
      </c>
      <c r="C12" s="3" t="inlineStr">
        <is>
          <t>Partially compliant</t>
        </is>
      </c>
      <c r="D12" s="3" t="inlineStr">
        <is>
          <t>Non-compliant</t>
        </is>
      </c>
      <c r="E12" s="3" t="inlineStr">
        <is>
          <t>Total</t>
        </is>
      </c>
      <c r="F12" s="3" t="inlineStr">
        <is>
          <t>% compliant</t>
        </is>
      </c>
      <c r="G12" s="3" t="inlineStr">
        <is>
          <t>% partial</t>
        </is>
      </c>
      <c r="H12" s="3" t="inlineStr">
        <is>
          <t>% non-compliant</t>
        </is>
      </c>
    </row>
    <row r="13">
      <c r="A13" s="4" t="inlineStr">
        <is>
          <t>Office</t>
        </is>
      </c>
      <c r="B13" s="4" t="n">
        <v>52</v>
      </c>
      <c r="C13" s="4" t="n">
        <v>7</v>
      </c>
      <c r="D13" s="4" t="n">
        <v>11</v>
      </c>
      <c r="E13" s="4">
        <f>SUM(B13:D13)</f>
        <v/>
      </c>
      <c r="F13" s="9">
        <f>B13/E13</f>
        <v/>
      </c>
      <c r="G13" s="9">
        <f>C13/E13</f>
        <v/>
      </c>
      <c r="H13" s="9">
        <f>D13/E13</f>
        <v/>
      </c>
    </row>
    <row r="14">
      <c r="A14" s="4" t="inlineStr">
        <is>
          <t>EPC</t>
        </is>
      </c>
      <c r="B14" s="4" t="n">
        <v>19</v>
      </c>
      <c r="C14" s="4" t="n">
        <v>1</v>
      </c>
      <c r="D14" s="4" t="n">
        <v>18</v>
      </c>
      <c r="E14" s="4">
        <f>SUM(B14:D14)</f>
        <v/>
      </c>
      <c r="F14" s="9">
        <f>B14/E14</f>
        <v/>
      </c>
      <c r="G14" s="9">
        <f>C14/E14</f>
        <v/>
      </c>
      <c r="H14" s="9">
        <f>D14/E14</f>
        <v/>
      </c>
    </row>
    <row r="15">
      <c r="A15" s="4" t="inlineStr">
        <is>
          <t>Factory</t>
        </is>
      </c>
      <c r="B15" s="4" t="n">
        <v>2</v>
      </c>
      <c r="C15" s="4" t="n">
        <v>15</v>
      </c>
      <c r="D15" s="4" t="n">
        <v>9</v>
      </c>
      <c r="E15" s="4">
        <f>SUM(B15:D15)</f>
        <v/>
      </c>
      <c r="F15" s="9">
        <f>B15/E15</f>
        <v/>
      </c>
      <c r="G15" s="9">
        <f>C15/E15</f>
        <v/>
      </c>
      <c r="H15" s="9">
        <f>D15/E15</f>
        <v/>
      </c>
    </row>
    <row r="16">
      <c r="A16" s="4" t="inlineStr">
        <is>
          <t>Warehouse</t>
        </is>
      </c>
      <c r="B16" s="4" t="n">
        <v>85</v>
      </c>
      <c r="C16" s="4" t="n">
        <v>42</v>
      </c>
      <c r="D16" s="4" t="n">
        <v>38</v>
      </c>
      <c r="E16" s="4">
        <f>SUM(B16:D16)</f>
        <v/>
      </c>
      <c r="F16" s="9">
        <f>B16/E16</f>
        <v/>
      </c>
      <c r="G16" s="9">
        <f>C16/E16</f>
        <v/>
      </c>
      <c r="H16" s="9">
        <f>D16/E16</f>
        <v/>
      </c>
    </row>
    <row r="17">
      <c r="A17" s="4" t="inlineStr">
        <is>
          <t>Services</t>
        </is>
      </c>
      <c r="B17" s="4" t="n">
        <v>26</v>
      </c>
      <c r="C17" s="4" t="n">
        <v>7</v>
      </c>
      <c r="D17" s="4" t="n">
        <v>13</v>
      </c>
      <c r="E17" s="4">
        <f>SUM(B17:D17)</f>
        <v/>
      </c>
      <c r="F17" s="9">
        <f>B17/E17</f>
        <v/>
      </c>
      <c r="G17" s="9">
        <f>C17/E17</f>
        <v/>
      </c>
      <c r="H17" s="9">
        <f>D17/E17</f>
        <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16" customWidth="1" min="1" max="1"/>
    <col width="12" customWidth="1" min="2" max="2"/>
    <col width="18" customWidth="1" min="3" max="3"/>
    <col width="14" customWidth="1" min="4" max="4"/>
    <col width="9" customWidth="1" min="5" max="5"/>
  </cols>
  <sheetData>
    <row r="1">
      <c r="A1" s="1" t="inlineStr">
        <is>
          <t>All criticality levels · clusters side by side (deck)</t>
        </is>
      </c>
    </row>
    <row r="2">
      <c r="A2" s="2" t="inlineStr">
        <is>
          <t>Sum over types of business of the cluster charts (global deck pp.14–19).</t>
        </is>
      </c>
    </row>
    <row r="4">
      <c r="A4" s="7" t="inlineStr">
        <is>
          <t>Spain &amp; Portugal</t>
        </is>
      </c>
    </row>
    <row r="5">
      <c r="A5" s="3" t="inlineStr">
        <is>
          <t>Criticality</t>
        </is>
      </c>
      <c r="B5" s="3" t="inlineStr">
        <is>
          <t>Compliant</t>
        </is>
      </c>
      <c r="C5" s="3" t="inlineStr">
        <is>
          <t>Partially compliant</t>
        </is>
      </c>
      <c r="D5" s="3" t="inlineStr">
        <is>
          <t>Non-compliant</t>
        </is>
      </c>
      <c r="E5" s="3" t="inlineStr">
        <is>
          <t>Total</t>
        </is>
      </c>
    </row>
    <row r="6">
      <c r="A6" s="4" t="inlineStr">
        <is>
          <t>High</t>
        </is>
      </c>
      <c r="B6" s="4" t="n">
        <v>86</v>
      </c>
      <c r="C6" s="4" t="n">
        <v>53</v>
      </c>
      <c r="D6" s="4" t="n">
        <v>44</v>
      </c>
      <c r="E6" s="4">
        <f>SUM(B6:D6)</f>
        <v/>
      </c>
    </row>
    <row r="7">
      <c r="A7" s="4" t="inlineStr">
        <is>
          <t>Medium</t>
        </is>
      </c>
      <c r="B7" s="4" t="n">
        <v>35</v>
      </c>
      <c r="C7" s="4" t="n">
        <v>94</v>
      </c>
      <c r="D7" s="4" t="n">
        <v>41</v>
      </c>
      <c r="E7" s="4">
        <f>SUM(B7:D7)</f>
        <v/>
      </c>
    </row>
    <row r="8">
      <c r="A8" s="4" t="inlineStr">
        <is>
          <t>Low</t>
        </is>
      </c>
      <c r="B8" s="4" t="n">
        <v>6</v>
      </c>
      <c r="C8" s="4" t="n">
        <v>31</v>
      </c>
      <c r="D8" s="4" t="n">
        <v>9</v>
      </c>
      <c r="E8" s="4">
        <f>SUM(B8:D8)</f>
        <v/>
      </c>
    </row>
    <row r="9">
      <c r="A9" s="6" t="inlineStr">
        <is>
          <t>Total</t>
        </is>
      </c>
      <c r="B9" s="6">
        <f>SUM(B6:B8)</f>
        <v/>
      </c>
      <c r="C9" s="6">
        <f>SUM(C6:C8)</f>
        <v/>
      </c>
      <c r="D9" s="6">
        <f>SUM(D6:D8)</f>
        <v/>
      </c>
      <c r="E9" s="6">
        <f>SUM(E6:E8)</f>
        <v/>
      </c>
    </row>
    <row r="20">
      <c r="A20" s="7" t="inlineStr">
        <is>
          <t>Mexico &amp; Colombia</t>
        </is>
      </c>
    </row>
    <row r="21">
      <c r="A21" s="3" t="inlineStr">
        <is>
          <t>Criticality</t>
        </is>
      </c>
      <c r="B21" s="3" t="inlineStr">
        <is>
          <t>Compliant</t>
        </is>
      </c>
      <c r="C21" s="3" t="inlineStr">
        <is>
          <t>Partially compliant</t>
        </is>
      </c>
      <c r="D21" s="3" t="inlineStr">
        <is>
          <t>Non-compliant</t>
        </is>
      </c>
      <c r="E21" s="3" t="inlineStr">
        <is>
          <t>Total</t>
        </is>
      </c>
    </row>
    <row r="22">
      <c r="A22" s="4" t="inlineStr">
        <is>
          <t>High</t>
        </is>
      </c>
      <c r="B22" s="4" t="n">
        <v>83</v>
      </c>
      <c r="C22" s="4" t="n">
        <v>16</v>
      </c>
      <c r="D22" s="4" t="n">
        <v>34</v>
      </c>
      <c r="E22" s="4">
        <f>SUM(B22:D22)</f>
        <v/>
      </c>
    </row>
    <row r="23">
      <c r="A23" s="4" t="inlineStr">
        <is>
          <t>Medium</t>
        </is>
      </c>
      <c r="B23" s="4" t="n">
        <v>58</v>
      </c>
      <c r="C23" s="4" t="n">
        <v>19</v>
      </c>
      <c r="D23" s="4" t="n">
        <v>27</v>
      </c>
      <c r="E23" s="4">
        <f>SUM(B23:D23)</f>
        <v/>
      </c>
    </row>
    <row r="24">
      <c r="A24" s="4" t="inlineStr">
        <is>
          <t>Low</t>
        </is>
      </c>
      <c r="B24" s="4" t="n">
        <v>30</v>
      </c>
      <c r="C24" s="4" t="n">
        <v>12</v>
      </c>
      <c r="D24" s="4" t="n">
        <v>15</v>
      </c>
      <c r="E24" s="4">
        <f>SUM(B24:D24)</f>
        <v/>
      </c>
    </row>
    <row r="25">
      <c r="A25" s="6" t="inlineStr">
        <is>
          <t>Total</t>
        </is>
      </c>
      <c r="B25" s="6">
        <f>SUM(B22:B24)</f>
        <v/>
      </c>
      <c r="C25" s="6">
        <f>SUM(C22:C24)</f>
        <v/>
      </c>
      <c r="D25" s="6">
        <f>SUM(D22:D24)</f>
        <v/>
      </c>
      <c r="E25" s="6">
        <f>SUM(E22:E24)</f>
        <v/>
      </c>
    </row>
    <row r="36">
      <c r="A36" s="7" t="inlineStr">
        <is>
          <t>France</t>
        </is>
      </c>
    </row>
    <row r="37">
      <c r="A37" s="3" t="inlineStr">
        <is>
          <t>Criticality</t>
        </is>
      </c>
      <c r="B37" s="3" t="inlineStr">
        <is>
          <t>Compliant</t>
        </is>
      </c>
      <c r="C37" s="3" t="inlineStr">
        <is>
          <t>Partially compliant</t>
        </is>
      </c>
      <c r="D37" s="3" t="inlineStr">
        <is>
          <t>Non-compliant</t>
        </is>
      </c>
      <c r="E37" s="3" t="inlineStr">
        <is>
          <t>Total</t>
        </is>
      </c>
    </row>
    <row r="38">
      <c r="A38" s="4" t="inlineStr">
        <is>
          <t>High</t>
        </is>
      </c>
      <c r="B38" s="4" t="n">
        <v>0</v>
      </c>
      <c r="C38" s="4" t="n">
        <v>1</v>
      </c>
      <c r="D38" s="4" t="n">
        <v>8</v>
      </c>
      <c r="E38" s="4">
        <f>SUM(B38:D38)</f>
        <v/>
      </c>
    </row>
    <row r="39">
      <c r="A39" s="4" t="inlineStr">
        <is>
          <t>Medium</t>
        </is>
      </c>
      <c r="B39" s="4" t="n">
        <v>0</v>
      </c>
      <c r="C39" s="4" t="n">
        <v>0</v>
      </c>
      <c r="D39" s="4" t="n">
        <v>9</v>
      </c>
      <c r="E39" s="4">
        <f>SUM(B39:D39)</f>
        <v/>
      </c>
    </row>
    <row r="40">
      <c r="A40" s="4" t="inlineStr">
        <is>
          <t>Low</t>
        </is>
      </c>
      <c r="B40" s="4" t="n">
        <v>0</v>
      </c>
      <c r="C40" s="4" t="n">
        <v>0</v>
      </c>
      <c r="D40" s="4" t="n">
        <v>13</v>
      </c>
      <c r="E40" s="4">
        <f>SUM(B40:D40)</f>
        <v/>
      </c>
    </row>
    <row r="41">
      <c r="A41" s="6" t="inlineStr">
        <is>
          <t>Total</t>
        </is>
      </c>
      <c r="B41" s="6">
        <f>SUM(B38:B40)</f>
        <v/>
      </c>
      <c r="C41" s="6">
        <f>SUM(C38:C40)</f>
        <v/>
      </c>
      <c r="D41" s="6">
        <f>SUM(D38:D40)</f>
        <v/>
      </c>
      <c r="E41" s="6">
        <f>SUM(E38:E40)</f>
        <v/>
      </c>
    </row>
    <row r="52">
      <c r="A52" s="7" t="inlineStr">
        <is>
          <t>Greece &amp; Italy</t>
        </is>
      </c>
    </row>
    <row r="53">
      <c r="A53" s="3" t="inlineStr">
        <is>
          <t>Criticality</t>
        </is>
      </c>
      <c r="B53" s="3" t="inlineStr">
        <is>
          <t>Compliant</t>
        </is>
      </c>
      <c r="C53" s="3" t="inlineStr">
        <is>
          <t>Partially compliant</t>
        </is>
      </c>
      <c r="D53" s="3" t="inlineStr">
        <is>
          <t>Non-compliant</t>
        </is>
      </c>
      <c r="E53" s="3" t="inlineStr">
        <is>
          <t>Total</t>
        </is>
      </c>
    </row>
    <row r="54">
      <c r="A54" s="4" t="inlineStr">
        <is>
          <t>High</t>
        </is>
      </c>
      <c r="B54" s="4" t="n">
        <v>15</v>
      </c>
      <c r="C54" s="4" t="n">
        <v>2</v>
      </c>
      <c r="D54" s="4" t="n">
        <v>3</v>
      </c>
      <c r="E54" s="4">
        <f>SUM(B54:D54)</f>
        <v/>
      </c>
    </row>
    <row r="55">
      <c r="A55" s="4" t="inlineStr">
        <is>
          <t>Medium</t>
        </is>
      </c>
      <c r="B55" s="4" t="n">
        <v>18</v>
      </c>
      <c r="C55" s="4" t="n">
        <v>3</v>
      </c>
      <c r="D55" s="4" t="n">
        <v>3</v>
      </c>
      <c r="E55" s="4">
        <f>SUM(B55:D55)</f>
        <v/>
      </c>
    </row>
    <row r="56">
      <c r="A56" s="4" t="inlineStr">
        <is>
          <t>Low</t>
        </is>
      </c>
      <c r="B56" s="4" t="n">
        <v>4</v>
      </c>
      <c r="C56" s="4" t="n">
        <v>5</v>
      </c>
      <c r="D56" s="4" t="n">
        <v>2</v>
      </c>
      <c r="E56" s="4">
        <f>SUM(B56:D56)</f>
        <v/>
      </c>
    </row>
    <row r="57">
      <c r="A57" s="6" t="inlineStr">
        <is>
          <t>Total</t>
        </is>
      </c>
      <c r="B57" s="6">
        <f>SUM(B54:B56)</f>
        <v/>
      </c>
      <c r="C57" s="6">
        <f>SUM(C54:C56)</f>
        <v/>
      </c>
      <c r="D57" s="6">
        <f>SUM(D54:D56)</f>
        <v/>
      </c>
      <c r="E57" s="6">
        <f>SUM(E54:E56)</f>
        <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40" customWidth="1" min="1" max="1"/>
    <col width="12" customWidth="1" min="2" max="2"/>
  </cols>
  <sheetData>
    <row r="1">
      <c r="A1" s="1" t="inlineStr">
        <is>
          <t>Page 4 headline numbers (high criticality)</t>
        </is>
      </c>
    </row>
    <row r="2">
      <c r="A2" s="2" t="inlineStr">
        <is>
          <t>Must match the executive summary: 184 compliant, 161 critical gaps (89 non-compliant + 72 partially compliant).</t>
        </is>
      </c>
    </row>
    <row r="4">
      <c r="A4" s="3" t="inlineStr">
        <is>
          <t>Measure</t>
        </is>
      </c>
      <c r="B4" s="3" t="inlineStr">
        <is>
          <t>Value</t>
        </is>
      </c>
    </row>
    <row r="5">
      <c r="A5" s="4" t="inlineStr">
        <is>
          <t>High-criticality items</t>
        </is>
      </c>
      <c r="B5" s="4">
        <f>'P4 Global high'!G16</f>
        <v/>
      </c>
    </row>
    <row r="6">
      <c r="A6" s="4" t="inlineStr">
        <is>
          <t>Compliant</t>
        </is>
      </c>
      <c r="B6" s="4">
        <f>'P4 Global high'!D16</f>
        <v/>
      </c>
    </row>
    <row r="7">
      <c r="A7" s="4" t="inlineStr">
        <is>
          <t>Partially compliant</t>
        </is>
      </c>
      <c r="B7" s="4">
        <f>'P4 Global high'!E16</f>
        <v/>
      </c>
    </row>
    <row r="8">
      <c r="A8" s="4" t="inlineStr">
        <is>
          <t>Non-compliant</t>
        </is>
      </c>
      <c r="B8" s="4">
        <f>'P4 Global high'!F16</f>
        <v/>
      </c>
    </row>
    <row r="9">
      <c r="A9" s="4" t="inlineStr">
        <is>
          <t>Critical gaps (partial + non-compliant)</t>
        </is>
      </c>
      <c r="B9" s="4">
        <f>B7+B8</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61"/>
  <sheetViews>
    <sheetView workbookViewId="0">
      <selection activeCell="A1" sqref="A1"/>
    </sheetView>
  </sheetViews>
  <sheetFormatPr baseColWidth="8" defaultRowHeight="15"/>
  <cols>
    <col width="22" customWidth="1" min="1" max="1"/>
    <col width="11" customWidth="1" min="2" max="2"/>
    <col width="9" customWidth="1" min="3" max="3"/>
    <col width="9" customWidth="1" min="4" max="4"/>
    <col width="9" customWidth="1" min="5" max="5"/>
    <col width="12" customWidth="1" min="6" max="6"/>
    <col width="12" customWidth="1" min="7" max="7"/>
    <col width="13" customWidth="1" min="8" max="8"/>
    <col width="8" customWidth="1" min="9" max="9"/>
  </cols>
  <sheetData>
    <row r="1">
      <c r="A1" s="1" t="inlineStr">
        <is>
          <t>Deck chart figures vs counts from the checklists</t>
        </is>
      </c>
    </row>
    <row r="2">
      <c r="A2" s="2" t="inlineStr">
        <is>
          <t>The dashboard shows deck figures (as presented to the client). FALSE = the deck and the checklist differ.</t>
        </is>
      </c>
    </row>
    <row r="4">
      <c r="A4" s="3" t="inlineStr">
        <is>
          <t>Site</t>
        </is>
      </c>
      <c r="B4" s="3" t="inlineStr">
        <is>
          <t>Criticality</t>
        </is>
      </c>
      <c r="C4" s="3" t="inlineStr">
        <is>
          <t>Deck · C</t>
        </is>
      </c>
      <c r="D4" s="3" t="inlineStr">
        <is>
          <t>Deck · P</t>
        </is>
      </c>
      <c r="E4" s="3" t="inlineStr">
        <is>
          <t>Deck · NC</t>
        </is>
      </c>
      <c r="F4" s="3" t="inlineStr">
        <is>
          <t>Checklist · C</t>
        </is>
      </c>
      <c r="G4" s="3" t="inlineStr">
        <is>
          <t>Checklist · P</t>
        </is>
      </c>
      <c r="H4" s="3" t="inlineStr">
        <is>
          <t>Checklist · NC</t>
        </is>
      </c>
      <c r="I4" s="3" t="inlineStr">
        <is>
          <t>Match</t>
        </is>
      </c>
    </row>
    <row r="5">
      <c r="A5" s="4" t="inlineStr">
        <is>
          <t>ES-VIT</t>
        </is>
      </c>
      <c r="B5" s="4" t="inlineStr">
        <is>
          <t>High</t>
        </is>
      </c>
      <c r="C5" s="4" t="n">
        <v>2</v>
      </c>
      <c r="D5" s="4" t="n">
        <v>15</v>
      </c>
      <c r="E5" s="4" t="n">
        <v>9</v>
      </c>
      <c r="F5" s="4" t="n">
        <v>2</v>
      </c>
      <c r="G5" s="4" t="n">
        <v>14</v>
      </c>
      <c r="H5" s="4" t="n">
        <v>14</v>
      </c>
      <c r="I5" s="4" t="b">
        <v>0</v>
      </c>
    </row>
    <row r="6">
      <c r="A6" s="4" t="inlineStr">
        <is>
          <t>ES-VIT</t>
        </is>
      </c>
      <c r="B6" s="4" t="inlineStr">
        <is>
          <t>Medium</t>
        </is>
      </c>
      <c r="C6" s="4" t="n">
        <v>1</v>
      </c>
      <c r="D6" s="4" t="n">
        <v>16</v>
      </c>
      <c r="E6" s="4" t="n">
        <v>1</v>
      </c>
      <c r="F6" s="4" t="n">
        <v>1</v>
      </c>
      <c r="G6" s="4" t="n">
        <v>18</v>
      </c>
      <c r="H6" s="4" t="n">
        <v>16</v>
      </c>
      <c r="I6" s="4" t="b">
        <v>0</v>
      </c>
    </row>
    <row r="7">
      <c r="A7" s="4" t="inlineStr">
        <is>
          <t>ES-VIT</t>
        </is>
      </c>
      <c r="B7" s="4" t="inlineStr">
        <is>
          <t>Low</t>
        </is>
      </c>
      <c r="C7" s="4" t="n">
        <v>0</v>
      </c>
      <c r="D7" s="4" t="n">
        <v>1</v>
      </c>
      <c r="E7" s="4" t="n">
        <v>1</v>
      </c>
      <c r="F7" s="4" t="n">
        <v>0</v>
      </c>
      <c r="G7" s="4" t="n">
        <v>1</v>
      </c>
      <c r="H7" s="4" t="n">
        <v>1</v>
      </c>
      <c r="I7" s="4" t="b">
        <v>1</v>
      </c>
    </row>
    <row r="8">
      <c r="A8" s="4" t="inlineStr">
        <is>
          <t>ES-SEV</t>
        </is>
      </c>
      <c r="B8" s="4" t="inlineStr">
        <is>
          <t>High</t>
        </is>
      </c>
      <c r="C8" s="4" t="n">
        <v>20</v>
      </c>
      <c r="D8" s="4" t="n">
        <v>8</v>
      </c>
      <c r="E8" s="4" t="n">
        <v>7</v>
      </c>
      <c r="F8" s="4" t="n">
        <v>20</v>
      </c>
      <c r="G8" s="4" t="n">
        <v>7</v>
      </c>
      <c r="H8" s="4" t="n">
        <v>8</v>
      </c>
      <c r="I8" s="4" t="b">
        <v>0</v>
      </c>
    </row>
    <row r="9">
      <c r="A9" s="4" t="inlineStr">
        <is>
          <t>ES-SEV</t>
        </is>
      </c>
      <c r="B9" s="4" t="inlineStr">
        <is>
          <t>Medium</t>
        </is>
      </c>
      <c r="C9" s="4" t="n">
        <v>4</v>
      </c>
      <c r="D9" s="4" t="n">
        <v>11</v>
      </c>
      <c r="E9" s="4" t="n">
        <v>4</v>
      </c>
      <c r="F9" s="4" t="n">
        <v>4</v>
      </c>
      <c r="G9" s="4" t="n">
        <v>11</v>
      </c>
      <c r="H9" s="4" t="n">
        <v>4</v>
      </c>
      <c r="I9" s="4" t="b">
        <v>1</v>
      </c>
    </row>
    <row r="10">
      <c r="A10" s="4" t="inlineStr">
        <is>
          <t>ES-SEV</t>
        </is>
      </c>
      <c r="B10" s="4" t="inlineStr">
        <is>
          <t>Low</t>
        </is>
      </c>
      <c r="C10" s="4" t="n">
        <v>0</v>
      </c>
      <c r="D10" s="4" t="n">
        <v>0</v>
      </c>
      <c r="E10" s="4" t="n">
        <v>0</v>
      </c>
      <c r="F10" s="4" t="n">
        <v>0</v>
      </c>
      <c r="G10" s="4" t="n">
        <v>0</v>
      </c>
      <c r="H10" s="4" t="n">
        <v>0</v>
      </c>
      <c r="I10" s="4" t="b">
        <v>1</v>
      </c>
    </row>
    <row r="11">
      <c r="A11" s="4" t="inlineStr">
        <is>
          <t>ES-MEC</t>
        </is>
      </c>
      <c r="B11" s="4" t="inlineStr">
        <is>
          <t>High</t>
        </is>
      </c>
      <c r="C11" s="4" t="n">
        <v>16</v>
      </c>
      <c r="D11" s="4" t="n">
        <v>2</v>
      </c>
      <c r="E11" s="4" t="n">
        <v>14</v>
      </c>
      <c r="F11" s="4" t="n">
        <v>16</v>
      </c>
      <c r="G11" s="4" t="n">
        <v>7</v>
      </c>
      <c r="H11" s="4" t="n">
        <v>15</v>
      </c>
      <c r="I11" s="4" t="b">
        <v>0</v>
      </c>
    </row>
    <row r="12">
      <c r="A12" s="4" t="inlineStr">
        <is>
          <t>ES-MEC</t>
        </is>
      </c>
      <c r="B12" s="4" t="inlineStr">
        <is>
          <t>Medium</t>
        </is>
      </c>
      <c r="C12" s="4" t="n">
        <v>8</v>
      </c>
      <c r="D12" s="4" t="n">
        <v>11</v>
      </c>
      <c r="E12" s="4" t="n">
        <v>7</v>
      </c>
      <c r="F12" s="4" t="n">
        <v>8</v>
      </c>
      <c r="G12" s="4" t="n">
        <v>11</v>
      </c>
      <c r="H12" s="4" t="n">
        <v>7</v>
      </c>
      <c r="I12" s="4" t="b">
        <v>1</v>
      </c>
    </row>
    <row r="13">
      <c r="A13" s="4" t="inlineStr">
        <is>
          <t>ES-MEC</t>
        </is>
      </c>
      <c r="B13" s="4" t="inlineStr">
        <is>
          <t>Low</t>
        </is>
      </c>
      <c r="C13" s="4" t="n">
        <v>0</v>
      </c>
      <c r="D13" s="4" t="n">
        <v>1</v>
      </c>
      <c r="E13" s="4" t="n">
        <v>4</v>
      </c>
      <c r="F13" s="4" t="n">
        <v>0</v>
      </c>
      <c r="G13" s="4" t="n">
        <v>1</v>
      </c>
      <c r="H13" s="4" t="n">
        <v>4</v>
      </c>
      <c r="I13" s="4" t="b">
        <v>1</v>
      </c>
    </row>
    <row r="14">
      <c r="A14" s="4" t="inlineStr">
        <is>
          <t>ES-VAL</t>
        </is>
      </c>
      <c r="B14" s="4" t="inlineStr">
        <is>
          <t>High</t>
        </is>
      </c>
      <c r="C14" s="4" t="n">
        <v>16</v>
      </c>
      <c r="D14" s="4" t="n">
        <v>3</v>
      </c>
      <c r="E14" s="4" t="n">
        <v>6</v>
      </c>
      <c r="F14" s="4" t="n">
        <v>16</v>
      </c>
      <c r="G14" s="4" t="n">
        <v>10</v>
      </c>
      <c r="H14" s="4" t="n">
        <v>6</v>
      </c>
      <c r="I14" s="4" t="b">
        <v>0</v>
      </c>
    </row>
    <row r="15">
      <c r="A15" s="4" t="inlineStr">
        <is>
          <t>ES-VAL</t>
        </is>
      </c>
      <c r="B15" s="4" t="inlineStr">
        <is>
          <t>Medium</t>
        </is>
      </c>
      <c r="C15" s="4" t="n">
        <v>8</v>
      </c>
      <c r="D15" s="4" t="n">
        <v>16</v>
      </c>
      <c r="E15" s="4" t="n">
        <v>3</v>
      </c>
      <c r="F15" s="4" t="n">
        <v>4</v>
      </c>
      <c r="G15" s="4" t="n">
        <v>16</v>
      </c>
      <c r="H15" s="4" t="n">
        <v>2</v>
      </c>
      <c r="I15" s="4" t="b">
        <v>0</v>
      </c>
    </row>
    <row r="16">
      <c r="A16" s="4" t="inlineStr">
        <is>
          <t>ES-VAL</t>
        </is>
      </c>
      <c r="B16" s="4" t="inlineStr">
        <is>
          <t>Low</t>
        </is>
      </c>
      <c r="C16" s="4" t="n">
        <v>1</v>
      </c>
      <c r="D16" s="4" t="n">
        <v>9</v>
      </c>
      <c r="E16" s="4" t="n">
        <v>0</v>
      </c>
      <c r="F16" s="4" t="n">
        <v>1</v>
      </c>
      <c r="G16" s="4" t="n">
        <v>2</v>
      </c>
      <c r="H16" s="4" t="n">
        <v>0</v>
      </c>
      <c r="I16" s="4" t="b">
        <v>0</v>
      </c>
    </row>
    <row r="17">
      <c r="A17" s="4" t="inlineStr">
        <is>
          <t>ES-AND</t>
        </is>
      </c>
      <c r="B17" s="4" t="inlineStr">
        <is>
          <t>High</t>
        </is>
      </c>
      <c r="C17" s="4" t="n">
        <v>1</v>
      </c>
      <c r="D17" s="4" t="n">
        <v>16</v>
      </c>
      <c r="E17" s="4" t="n">
        <v>4</v>
      </c>
      <c r="F17" s="4" t="n">
        <v>1</v>
      </c>
      <c r="G17" s="4" t="n">
        <v>4</v>
      </c>
      <c r="H17" s="4" t="n">
        <v>16</v>
      </c>
      <c r="I17" s="4" t="b">
        <v>0</v>
      </c>
    </row>
    <row r="18">
      <c r="A18" s="4" t="inlineStr">
        <is>
          <t>ES-AND</t>
        </is>
      </c>
      <c r="B18" s="4" t="inlineStr">
        <is>
          <t>Medium</t>
        </is>
      </c>
      <c r="C18" s="4" t="n">
        <v>1</v>
      </c>
      <c r="D18" s="4" t="n">
        <v>8</v>
      </c>
      <c r="E18" s="4" t="n">
        <v>15</v>
      </c>
      <c r="F18" s="4" t="n">
        <v>1</v>
      </c>
      <c r="G18" s="4" t="n">
        <v>8</v>
      </c>
      <c r="H18" s="4" t="n">
        <v>15</v>
      </c>
      <c r="I18" s="4" t="b">
        <v>1</v>
      </c>
    </row>
    <row r="19">
      <c r="A19" s="4" t="inlineStr">
        <is>
          <t>ES-AND</t>
        </is>
      </c>
      <c r="B19" s="4" t="inlineStr">
        <is>
          <t>Low</t>
        </is>
      </c>
      <c r="C19" s="4" t="n">
        <v>0</v>
      </c>
      <c r="D19" s="4" t="n">
        <v>1</v>
      </c>
      <c r="E19" s="4" t="n">
        <v>3</v>
      </c>
      <c r="F19" s="4" t="n">
        <v>0</v>
      </c>
      <c r="G19" s="4" t="n">
        <v>1</v>
      </c>
      <c r="H19" s="4" t="n">
        <v>3</v>
      </c>
      <c r="I19" s="4" t="b">
        <v>1</v>
      </c>
    </row>
    <row r="20">
      <c r="A20" s="4" t="inlineStr">
        <is>
          <t>ES-BUR</t>
        </is>
      </c>
      <c r="B20" s="4" t="inlineStr">
        <is>
          <t>High</t>
        </is>
      </c>
      <c r="C20" s="4" t="n">
        <v>9</v>
      </c>
      <c r="D20" s="4" t="n">
        <v>6</v>
      </c>
      <c r="E20" s="4" t="n">
        <v>2</v>
      </c>
      <c r="F20" s="4" t="n">
        <v>9</v>
      </c>
      <c r="G20" s="4" t="n">
        <v>9</v>
      </c>
      <c r="H20" s="4" t="n">
        <v>4</v>
      </c>
      <c r="I20" s="4" t="b">
        <v>0</v>
      </c>
    </row>
    <row r="21">
      <c r="A21" s="4" t="inlineStr">
        <is>
          <t>ES-BUR</t>
        </is>
      </c>
      <c r="B21" s="4" t="inlineStr">
        <is>
          <t>Medium</t>
        </is>
      </c>
      <c r="C21" s="4" t="n">
        <v>2</v>
      </c>
      <c r="D21" s="4" t="n">
        <v>18</v>
      </c>
      <c r="E21" s="4" t="n">
        <v>1</v>
      </c>
      <c r="F21" s="4" t="n">
        <v>2</v>
      </c>
      <c r="G21" s="4" t="n">
        <v>18</v>
      </c>
      <c r="H21" s="4" t="n">
        <v>1</v>
      </c>
      <c r="I21" s="4" t="b">
        <v>1</v>
      </c>
    </row>
    <row r="22">
      <c r="A22" s="4" t="inlineStr">
        <is>
          <t>ES-BUR</t>
        </is>
      </c>
      <c r="B22" s="4" t="inlineStr">
        <is>
          <t>Low</t>
        </is>
      </c>
      <c r="C22" s="4" t="n">
        <v>0</v>
      </c>
      <c r="D22" s="4" t="n">
        <v>11</v>
      </c>
      <c r="E22" s="4" t="n">
        <v>0</v>
      </c>
      <c r="F22" s="4" t="n">
        <v>0</v>
      </c>
      <c r="G22" s="4" t="n">
        <v>11</v>
      </c>
      <c r="H22" s="4" t="n">
        <v>0</v>
      </c>
      <c r="I22" s="4" t="b">
        <v>1</v>
      </c>
    </row>
    <row r="23">
      <c r="A23" s="4" t="inlineStr">
        <is>
          <t>ES-ACO</t>
        </is>
      </c>
      <c r="B23" s="4" t="inlineStr">
        <is>
          <t>High</t>
        </is>
      </c>
      <c r="C23" s="4" t="n">
        <v>8</v>
      </c>
      <c r="D23" s="4" t="n">
        <v>0</v>
      </c>
      <c r="E23" s="4" t="n">
        <v>0</v>
      </c>
      <c r="F23" s="4" t="n">
        <v>8</v>
      </c>
      <c r="G23" s="4" t="n">
        <v>0</v>
      </c>
      <c r="H23" s="4" t="n">
        <v>0</v>
      </c>
      <c r="I23" s="4" t="b">
        <v>1</v>
      </c>
    </row>
    <row r="24">
      <c r="A24" s="4" t="inlineStr">
        <is>
          <t>ES-ACO</t>
        </is>
      </c>
      <c r="B24" s="4" t="inlineStr">
        <is>
          <t>Medium</t>
        </is>
      </c>
      <c r="C24" s="4" t="n">
        <v>2</v>
      </c>
      <c r="D24" s="4" t="n">
        <v>1</v>
      </c>
      <c r="E24" s="4" t="n">
        <v>0</v>
      </c>
      <c r="F24" s="4" t="n">
        <v>2</v>
      </c>
      <c r="G24" s="4" t="n">
        <v>1</v>
      </c>
      <c r="H24" s="4" t="n">
        <v>0</v>
      </c>
      <c r="I24" s="4" t="b">
        <v>1</v>
      </c>
    </row>
    <row r="25">
      <c r="A25" s="4" t="inlineStr">
        <is>
          <t>ES-ACO</t>
        </is>
      </c>
      <c r="B25" s="4" t="inlineStr">
        <is>
          <t>Low</t>
        </is>
      </c>
      <c r="C25" s="4" t="n">
        <v>0</v>
      </c>
      <c r="D25" s="4" t="n">
        <v>0</v>
      </c>
      <c r="E25" s="4" t="n">
        <v>0</v>
      </c>
      <c r="F25" s="4" t="n">
        <v>0</v>
      </c>
      <c r="G25" s="4" t="n">
        <v>0</v>
      </c>
      <c r="H25" s="4" t="n">
        <v>0</v>
      </c>
      <c r="I25" s="4" t="b">
        <v>1</v>
      </c>
    </row>
    <row r="26">
      <c r="A26" s="4" t="inlineStr">
        <is>
          <t>ES-MAD</t>
        </is>
      </c>
      <c r="B26" s="4" t="inlineStr">
        <is>
          <t>High</t>
        </is>
      </c>
      <c r="C26" s="4" t="n">
        <v>8</v>
      </c>
      <c r="D26" s="4" t="n">
        <v>1</v>
      </c>
      <c r="E26" s="4" t="n">
        <v>0</v>
      </c>
      <c r="F26" s="4" t="n">
        <v>11</v>
      </c>
      <c r="G26" s="4" t="n">
        <v>1</v>
      </c>
      <c r="H26" s="4" t="n">
        <v>0</v>
      </c>
      <c r="I26" s="4" t="b">
        <v>0</v>
      </c>
    </row>
    <row r="27">
      <c r="A27" s="4" t="inlineStr">
        <is>
          <t>ES-MAD</t>
        </is>
      </c>
      <c r="B27" s="4" t="inlineStr">
        <is>
          <t>Medium</t>
        </is>
      </c>
      <c r="C27" s="4" t="n">
        <v>0</v>
      </c>
      <c r="D27" s="4" t="n">
        <v>9</v>
      </c>
      <c r="E27" s="4" t="n">
        <v>6</v>
      </c>
      <c r="F27" s="4" t="n">
        <v>0</v>
      </c>
      <c r="G27" s="4" t="n">
        <v>9</v>
      </c>
      <c r="H27" s="4" t="n">
        <v>6</v>
      </c>
      <c r="I27" s="4" t="b">
        <v>1</v>
      </c>
    </row>
    <row r="28">
      <c r="A28" s="4" t="inlineStr">
        <is>
          <t>ES-MAD</t>
        </is>
      </c>
      <c r="B28" s="4" t="inlineStr">
        <is>
          <t>Low</t>
        </is>
      </c>
      <c r="C28" s="4" t="n">
        <v>3</v>
      </c>
      <c r="D28" s="4" t="n">
        <v>1</v>
      </c>
      <c r="E28" s="4" t="n">
        <v>0</v>
      </c>
      <c r="F28" s="4" t="n">
        <v>3</v>
      </c>
      <c r="G28" s="4" t="n">
        <v>1</v>
      </c>
      <c r="H28" s="4" t="n">
        <v>0</v>
      </c>
      <c r="I28" s="4" t="b">
        <v>1</v>
      </c>
    </row>
    <row r="29">
      <c r="A29" s="4" t="inlineStr">
        <is>
          <t>PT-AVE</t>
        </is>
      </c>
      <c r="B29" s="4" t="inlineStr">
        <is>
          <t>High</t>
        </is>
      </c>
      <c r="C29" s="4" t="n">
        <v>4</v>
      </c>
      <c r="D29" s="4" t="n">
        <v>3</v>
      </c>
      <c r="E29" s="4" t="n">
        <v>1</v>
      </c>
      <c r="F29" s="4" t="n">
        <v>4</v>
      </c>
      <c r="G29" s="4" t="n">
        <v>3</v>
      </c>
      <c r="H29" s="4" t="n">
        <v>1</v>
      </c>
      <c r="I29" s="4" t="b">
        <v>1</v>
      </c>
    </row>
    <row r="30">
      <c r="A30" s="4" t="inlineStr">
        <is>
          <t>PT-AVE</t>
        </is>
      </c>
      <c r="B30" s="4" t="inlineStr">
        <is>
          <t>Medium</t>
        </is>
      </c>
      <c r="C30" s="4" t="n">
        <v>11</v>
      </c>
      <c r="D30" s="4" t="n">
        <v>4</v>
      </c>
      <c r="E30" s="4" t="n">
        <v>4</v>
      </c>
      <c r="F30" s="4" t="n">
        <v>11</v>
      </c>
      <c r="G30" s="4" t="n">
        <v>4</v>
      </c>
      <c r="H30" s="4" t="n">
        <v>4</v>
      </c>
      <c r="I30" s="4" t="b">
        <v>1</v>
      </c>
    </row>
    <row r="31">
      <c r="A31" s="4" t="inlineStr">
        <is>
          <t>PT-AVE</t>
        </is>
      </c>
      <c r="B31" s="4" t="inlineStr">
        <is>
          <t>Low</t>
        </is>
      </c>
      <c r="C31" s="4" t="n">
        <v>2</v>
      </c>
      <c r="D31" s="4" t="n">
        <v>7</v>
      </c>
      <c r="E31" s="4" t="n">
        <v>1</v>
      </c>
      <c r="F31" s="4" t="n">
        <v>2</v>
      </c>
      <c r="G31" s="4" t="n">
        <v>7</v>
      </c>
      <c r="H31" s="4" t="n">
        <v>1</v>
      </c>
      <c r="I31" s="4" t="b">
        <v>1</v>
      </c>
    </row>
    <row r="32">
      <c r="A32" s="4" t="inlineStr">
        <is>
          <t>MX-MTY</t>
        </is>
      </c>
      <c r="B32" s="4" t="inlineStr">
        <is>
          <t>High</t>
        </is>
      </c>
      <c r="C32" s="4" t="n">
        <v>23</v>
      </c>
      <c r="D32" s="4" t="n">
        <v>7</v>
      </c>
      <c r="E32" s="4" t="n">
        <v>5</v>
      </c>
      <c r="F32" s="4" t="n">
        <v>23</v>
      </c>
      <c r="G32" s="4" t="n">
        <v>7</v>
      </c>
      <c r="H32" s="4" t="n">
        <v>5</v>
      </c>
      <c r="I32" s="4" t="b">
        <v>1</v>
      </c>
    </row>
    <row r="33">
      <c r="A33" s="4" t="inlineStr">
        <is>
          <t>MX-MTY</t>
        </is>
      </c>
      <c r="B33" s="4" t="inlineStr">
        <is>
          <t>Medium</t>
        </is>
      </c>
      <c r="C33" s="4" t="n">
        <v>22</v>
      </c>
      <c r="D33" s="4" t="n">
        <v>6</v>
      </c>
      <c r="E33" s="4" t="n">
        <v>0</v>
      </c>
      <c r="F33" s="4" t="n">
        <v>22</v>
      </c>
      <c r="G33" s="4" t="n">
        <v>6</v>
      </c>
      <c r="H33" s="4" t="n">
        <v>0</v>
      </c>
      <c r="I33" s="4" t="b">
        <v>1</v>
      </c>
    </row>
    <row r="34">
      <c r="A34" s="4" t="inlineStr">
        <is>
          <t>MX-MTY</t>
        </is>
      </c>
      <c r="B34" s="4" t="inlineStr">
        <is>
          <t>Low</t>
        </is>
      </c>
      <c r="C34" s="4" t="n">
        <v>8</v>
      </c>
      <c r="D34" s="4" t="n">
        <v>0</v>
      </c>
      <c r="E34" s="4" t="n">
        <v>1</v>
      </c>
      <c r="F34" s="4" t="n">
        <v>8</v>
      </c>
      <c r="G34" s="4" t="n">
        <v>0</v>
      </c>
      <c r="H34" s="4" t="n">
        <v>1</v>
      </c>
      <c r="I34" s="4" t="b">
        <v>1</v>
      </c>
    </row>
    <row r="35">
      <c r="A35" s="4" t="inlineStr">
        <is>
          <t>MX-INO</t>
        </is>
      </c>
      <c r="B35" s="4" t="inlineStr">
        <is>
          <t>High</t>
        </is>
      </c>
      <c r="C35" s="4" t="n">
        <v>13</v>
      </c>
      <c r="D35" s="4" t="n">
        <v>0</v>
      </c>
      <c r="E35" s="4" t="n">
        <v>3</v>
      </c>
      <c r="F35" s="4" t="n">
        <v>13</v>
      </c>
      <c r="G35" s="4" t="n">
        <v>0</v>
      </c>
      <c r="H35" s="4" t="n">
        <v>3</v>
      </c>
      <c r="I35" s="4" t="b">
        <v>1</v>
      </c>
    </row>
    <row r="36">
      <c r="A36" s="4" t="inlineStr">
        <is>
          <t>MX-INO</t>
        </is>
      </c>
      <c r="B36" s="4" t="inlineStr">
        <is>
          <t>Medium</t>
        </is>
      </c>
      <c r="C36" s="4" t="n">
        <v>7</v>
      </c>
      <c r="D36" s="4" t="n">
        <v>2</v>
      </c>
      <c r="E36" s="4" t="n">
        <v>3</v>
      </c>
      <c r="F36" s="4" t="n">
        <v>7</v>
      </c>
      <c r="G36" s="4" t="n">
        <v>2</v>
      </c>
      <c r="H36" s="4" t="n">
        <v>3</v>
      </c>
      <c r="I36" s="4" t="b">
        <v>1</v>
      </c>
    </row>
    <row r="37">
      <c r="A37" s="4" t="inlineStr">
        <is>
          <t>MX-INO</t>
        </is>
      </c>
      <c r="B37" s="4" t="inlineStr">
        <is>
          <t>Low</t>
        </is>
      </c>
      <c r="C37" s="4" t="n">
        <v>7</v>
      </c>
      <c r="D37" s="4" t="n">
        <v>1</v>
      </c>
      <c r="E37" s="4" t="n">
        <v>0</v>
      </c>
      <c r="F37" s="4" t="n">
        <v>7</v>
      </c>
      <c r="G37" s="4" t="n">
        <v>1</v>
      </c>
      <c r="H37" s="4" t="n">
        <v>0</v>
      </c>
      <c r="I37" s="4" t="b">
        <v>1</v>
      </c>
    </row>
    <row r="38">
      <c r="A38" s="4" t="inlineStr">
        <is>
          <t>MX-CDMX</t>
        </is>
      </c>
      <c r="B38" s="4" t="inlineStr">
        <is>
          <t>High</t>
        </is>
      </c>
      <c r="C38" s="4" t="n">
        <v>22</v>
      </c>
      <c r="D38" s="4" t="n">
        <v>1</v>
      </c>
      <c r="E38" s="4" t="n">
        <v>2</v>
      </c>
      <c r="F38" s="4" t="n">
        <v>22</v>
      </c>
      <c r="G38" s="4" t="n">
        <v>2</v>
      </c>
      <c r="H38" s="4" t="n">
        <v>3</v>
      </c>
      <c r="I38" s="4" t="b">
        <v>0</v>
      </c>
    </row>
    <row r="39">
      <c r="A39" s="4" t="inlineStr">
        <is>
          <t>MX-CDMX</t>
        </is>
      </c>
      <c r="B39" s="4" t="inlineStr">
        <is>
          <t>Medium</t>
        </is>
      </c>
      <c r="C39" s="4" t="n">
        <v>7</v>
      </c>
      <c r="D39" s="4" t="n">
        <v>3</v>
      </c>
      <c r="E39" s="4" t="n">
        <v>1</v>
      </c>
      <c r="F39" s="4" t="n">
        <v>7</v>
      </c>
      <c r="G39" s="4" t="n">
        <v>3</v>
      </c>
      <c r="H39" s="4" t="n">
        <v>1</v>
      </c>
      <c r="I39" s="4" t="b">
        <v>1</v>
      </c>
    </row>
    <row r="40">
      <c r="A40" s="4" t="inlineStr">
        <is>
          <t>MX-CDMX</t>
        </is>
      </c>
      <c r="B40" s="4" t="inlineStr">
        <is>
          <t>Low</t>
        </is>
      </c>
      <c r="C40" s="4" t="n">
        <v>6</v>
      </c>
      <c r="D40" s="4" t="n">
        <v>1</v>
      </c>
      <c r="E40" s="4" t="n">
        <v>0</v>
      </c>
      <c r="F40" s="4" t="n">
        <v>6</v>
      </c>
      <c r="G40" s="4" t="n">
        <v>1</v>
      </c>
      <c r="H40" s="4" t="n">
        <v>0</v>
      </c>
      <c r="I40" s="4" t="b">
        <v>1</v>
      </c>
    </row>
    <row r="41">
      <c r="A41" s="4" t="inlineStr">
        <is>
          <t>CO-HOM</t>
        </is>
      </c>
      <c r="B41" s="4" t="inlineStr">
        <is>
          <t>High</t>
        </is>
      </c>
      <c r="C41" s="4" t="n">
        <v>3</v>
      </c>
      <c r="D41" s="4" t="n">
        <v>1</v>
      </c>
      <c r="E41" s="4" t="n">
        <v>1</v>
      </c>
      <c r="F41" s="4" t="n">
        <v>3</v>
      </c>
      <c r="G41" s="4" t="n">
        <v>1</v>
      </c>
      <c r="H41" s="4" t="n">
        <v>1</v>
      </c>
      <c r="I41" s="4" t="b">
        <v>1</v>
      </c>
    </row>
    <row r="42">
      <c r="A42" s="4" t="inlineStr">
        <is>
          <t>CO-HOM</t>
        </is>
      </c>
      <c r="B42" s="4" t="inlineStr">
        <is>
          <t>Medium</t>
        </is>
      </c>
      <c r="C42" s="4" t="n">
        <v>1</v>
      </c>
      <c r="D42" s="4" t="n">
        <v>1</v>
      </c>
      <c r="E42" s="4" t="n">
        <v>2</v>
      </c>
      <c r="F42" s="4" t="n">
        <v>1</v>
      </c>
      <c r="G42" s="4" t="n">
        <v>1</v>
      </c>
      <c r="H42" s="4" t="n">
        <v>2</v>
      </c>
      <c r="I42" s="4" t="b">
        <v>1</v>
      </c>
    </row>
    <row r="43">
      <c r="A43" s="4" t="inlineStr">
        <is>
          <t>CO-HOM</t>
        </is>
      </c>
      <c r="B43" s="4" t="inlineStr">
        <is>
          <t>Low</t>
        </is>
      </c>
      <c r="C43" s="4" t="n">
        <v>1</v>
      </c>
      <c r="D43" s="4" t="n">
        <v>2</v>
      </c>
      <c r="E43" s="4" t="n">
        <v>9</v>
      </c>
      <c r="F43" s="4" t="n">
        <v>1</v>
      </c>
      <c r="G43" s="4" t="n">
        <v>2</v>
      </c>
      <c r="H43" s="4" t="n">
        <v>9</v>
      </c>
      <c r="I43" s="4" t="b">
        <v>1</v>
      </c>
    </row>
    <row r="44">
      <c r="A44" s="4" t="inlineStr">
        <is>
          <t>CO-EPC</t>
        </is>
      </c>
      <c r="B44" s="4" t="inlineStr">
        <is>
          <t>High</t>
        </is>
      </c>
      <c r="C44" s="4" t="n">
        <v>6</v>
      </c>
      <c r="D44" s="4" t="n">
        <v>0</v>
      </c>
      <c r="E44" s="4" t="n">
        <v>10</v>
      </c>
      <c r="F44" s="4" t="n">
        <v>4</v>
      </c>
      <c r="G44" s="4" t="n">
        <v>0</v>
      </c>
      <c r="H44" s="4" t="n">
        <v>12</v>
      </c>
      <c r="I44" s="4" t="b">
        <v>0</v>
      </c>
    </row>
    <row r="45">
      <c r="A45" s="4" t="inlineStr">
        <is>
          <t>CO-EPC</t>
        </is>
      </c>
      <c r="B45" s="4" t="inlineStr">
        <is>
          <t>Medium</t>
        </is>
      </c>
      <c r="C45" s="4" t="n">
        <v>3</v>
      </c>
      <c r="D45" s="4" t="n">
        <v>4</v>
      </c>
      <c r="E45" s="4" t="n">
        <v>12</v>
      </c>
      <c r="F45" s="4" t="n">
        <v>4</v>
      </c>
      <c r="G45" s="4" t="n">
        <v>4</v>
      </c>
      <c r="H45" s="4" t="n">
        <v>11</v>
      </c>
      <c r="I45" s="4" t="b">
        <v>0</v>
      </c>
    </row>
    <row r="46">
      <c r="A46" s="4" t="inlineStr">
        <is>
          <t>CO-EPC</t>
        </is>
      </c>
      <c r="B46" s="4" t="inlineStr">
        <is>
          <t>Low</t>
        </is>
      </c>
      <c r="C46" s="4" t="n">
        <v>1</v>
      </c>
      <c r="D46" s="4" t="n">
        <v>2</v>
      </c>
      <c r="E46" s="4" t="n">
        <v>1</v>
      </c>
      <c r="F46" s="4" t="n">
        <v>1</v>
      </c>
      <c r="G46" s="4" t="n">
        <v>2</v>
      </c>
      <c r="H46" s="4" t="n">
        <v>1</v>
      </c>
      <c r="I46" s="4" t="b">
        <v>1</v>
      </c>
    </row>
    <row r="47">
      <c r="A47" s="4" t="inlineStr">
        <is>
          <t>FR-OFF</t>
        </is>
      </c>
      <c r="B47" s="4" t="inlineStr">
        <is>
          <t>High</t>
        </is>
      </c>
      <c r="C47" s="4" t="n">
        <v>0</v>
      </c>
      <c r="D47" s="4" t="n">
        <v>0</v>
      </c>
      <c r="E47" s="4" t="n">
        <v>3</v>
      </c>
      <c r="F47" s="4" t="n">
        <v>0</v>
      </c>
      <c r="G47" s="4" t="n">
        <v>0</v>
      </c>
      <c r="H47" s="4" t="n">
        <v>12</v>
      </c>
      <c r="I47" s="4" t="b">
        <v>0</v>
      </c>
    </row>
    <row r="48">
      <c r="A48" s="4" t="inlineStr">
        <is>
          <t>FR-OFF</t>
        </is>
      </c>
      <c r="B48" s="4" t="inlineStr">
        <is>
          <t>Medium</t>
        </is>
      </c>
      <c r="C48" s="4" t="n">
        <v>0</v>
      </c>
      <c r="D48" s="4" t="n">
        <v>0</v>
      </c>
      <c r="E48" s="4" t="n">
        <v>5</v>
      </c>
      <c r="F48" s="4" t="n">
        <v>0</v>
      </c>
      <c r="G48" s="4" t="n">
        <v>0</v>
      </c>
      <c r="H48" s="4" t="n">
        <v>6</v>
      </c>
      <c r="I48" s="4" t="b">
        <v>0</v>
      </c>
    </row>
    <row r="49">
      <c r="A49" s="4" t="inlineStr">
        <is>
          <t>FR-OFF</t>
        </is>
      </c>
      <c r="B49" s="4" t="inlineStr">
        <is>
          <t>Low</t>
        </is>
      </c>
      <c r="C49" s="4" t="n">
        <v>0</v>
      </c>
      <c r="D49" s="4" t="n">
        <v>0</v>
      </c>
      <c r="E49" s="4" t="n">
        <v>10</v>
      </c>
      <c r="F49" s="4" t="n">
        <v>0</v>
      </c>
      <c r="G49" s="4" t="n">
        <v>0</v>
      </c>
      <c r="H49" s="4" t="n">
        <v>11</v>
      </c>
      <c r="I49" s="4" t="b">
        <v>0</v>
      </c>
    </row>
    <row r="50">
      <c r="A50" s="4" t="inlineStr">
        <is>
          <t>FR-EPC</t>
        </is>
      </c>
      <c r="B50" s="4" t="inlineStr">
        <is>
          <t>High</t>
        </is>
      </c>
      <c r="C50" s="4" t="n">
        <v>0</v>
      </c>
      <c r="D50" s="4" t="n">
        <v>1</v>
      </c>
      <c r="E50" s="4" t="n">
        <v>5</v>
      </c>
      <c r="F50" s="4" t="n">
        <v>0</v>
      </c>
      <c r="G50" s="4" t="n">
        <v>1</v>
      </c>
      <c r="H50" s="4" t="n">
        <v>19</v>
      </c>
      <c r="I50" s="4" t="b">
        <v>0</v>
      </c>
    </row>
    <row r="51">
      <c r="A51" s="4" t="inlineStr">
        <is>
          <t>FR-EPC</t>
        </is>
      </c>
      <c r="B51" s="4" t="inlineStr">
        <is>
          <t>Medium</t>
        </is>
      </c>
      <c r="C51" s="4" t="n">
        <v>0</v>
      </c>
      <c r="D51" s="4" t="n">
        <v>0</v>
      </c>
      <c r="E51" s="4" t="n">
        <v>4</v>
      </c>
      <c r="F51" s="4" t="n">
        <v>0</v>
      </c>
      <c r="G51" s="4" t="n">
        <v>1</v>
      </c>
      <c r="H51" s="4" t="n">
        <v>6</v>
      </c>
      <c r="I51" s="4" t="b">
        <v>0</v>
      </c>
    </row>
    <row r="52">
      <c r="A52" s="4" t="inlineStr">
        <is>
          <t>FR-EPC</t>
        </is>
      </c>
      <c r="B52" s="4" t="inlineStr">
        <is>
          <t>Low</t>
        </is>
      </c>
      <c r="C52" s="4" t="n">
        <v>0</v>
      </c>
      <c r="D52" s="4" t="n">
        <v>0</v>
      </c>
      <c r="E52" s="4" t="n">
        <v>3</v>
      </c>
      <c r="F52" s="4" t="n">
        <v>0</v>
      </c>
      <c r="G52" s="4" t="n">
        <v>0</v>
      </c>
      <c r="H52" s="4" t="n">
        <v>4</v>
      </c>
      <c r="I52" s="4" t="b">
        <v>0</v>
      </c>
    </row>
    <row r="53">
      <c r="A53" s="4" t="inlineStr">
        <is>
          <t>GR-ATH</t>
        </is>
      </c>
      <c r="B53" s="4" t="inlineStr">
        <is>
          <t>High</t>
        </is>
      </c>
      <c r="C53" s="4" t="n">
        <v>4</v>
      </c>
      <c r="D53" s="4" t="n">
        <v>0</v>
      </c>
      <c r="E53" s="4" t="n">
        <v>3</v>
      </c>
      <c r="F53" s="4" t="n">
        <v>4</v>
      </c>
      <c r="G53" s="4" t="n">
        <v>4</v>
      </c>
      <c r="H53" s="4" t="n">
        <v>4</v>
      </c>
      <c r="I53" s="4" t="b">
        <v>0</v>
      </c>
    </row>
    <row r="54">
      <c r="A54" s="4" t="inlineStr">
        <is>
          <t>GR-ATH</t>
        </is>
      </c>
      <c r="B54" s="4" t="inlineStr">
        <is>
          <t>Medium</t>
        </is>
      </c>
      <c r="C54" s="4" t="n">
        <v>4</v>
      </c>
      <c r="D54" s="4" t="n">
        <v>1</v>
      </c>
      <c r="E54" s="4" t="n">
        <v>3</v>
      </c>
      <c r="F54" s="4" t="n">
        <v>4</v>
      </c>
      <c r="G54" s="4" t="n">
        <v>4</v>
      </c>
      <c r="H54" s="4" t="n">
        <v>5</v>
      </c>
      <c r="I54" s="4" t="b">
        <v>0</v>
      </c>
    </row>
    <row r="55">
      <c r="A55" s="4" t="inlineStr">
        <is>
          <t>GR-ATH</t>
        </is>
      </c>
      <c r="B55" s="4" t="inlineStr">
        <is>
          <t>Low</t>
        </is>
      </c>
      <c r="C55" s="4" t="n">
        <v>1</v>
      </c>
      <c r="D55" s="4" t="n">
        <v>0</v>
      </c>
      <c r="E55" s="4" t="n">
        <v>2</v>
      </c>
      <c r="F55" s="4" t="n">
        <v>1</v>
      </c>
      <c r="G55" s="4" t="n">
        <v>0</v>
      </c>
      <c r="H55" s="4" t="n">
        <v>1</v>
      </c>
      <c r="I55" s="4" t="b">
        <v>0</v>
      </c>
    </row>
    <row r="56">
      <c r="A56" s="4" t="inlineStr">
        <is>
          <t>IT-BUC</t>
        </is>
      </c>
      <c r="B56" s="4" t="inlineStr">
        <is>
          <t>High</t>
        </is>
      </c>
      <c r="C56" s="4" t="n">
        <v>11</v>
      </c>
      <c r="D56" s="4" t="n">
        <v>2</v>
      </c>
      <c r="E56" s="4" t="n">
        <v>0</v>
      </c>
      <c r="F56" s="4" t="n">
        <v>11</v>
      </c>
      <c r="G56" s="4" t="n">
        <v>2</v>
      </c>
      <c r="H56" s="4" t="n">
        <v>0</v>
      </c>
      <c r="I56" s="4" t="b">
        <v>1</v>
      </c>
    </row>
    <row r="57">
      <c r="A57" s="4" t="inlineStr">
        <is>
          <t>IT-BUC</t>
        </is>
      </c>
      <c r="B57" s="4" t="inlineStr">
        <is>
          <t>Medium</t>
        </is>
      </c>
      <c r="C57" s="4" t="n">
        <v>14</v>
      </c>
      <c r="D57" s="4" t="n">
        <v>2</v>
      </c>
      <c r="E57" s="4" t="n">
        <v>1</v>
      </c>
      <c r="F57" s="4" t="n">
        <v>14</v>
      </c>
      <c r="G57" s="4" t="n">
        <v>2</v>
      </c>
      <c r="H57" s="4" t="n">
        <v>1</v>
      </c>
      <c r="I57" s="4" t="b">
        <v>1</v>
      </c>
    </row>
    <row r="58">
      <c r="A58" s="4" t="inlineStr">
        <is>
          <t>IT-BUC</t>
        </is>
      </c>
      <c r="B58" s="4" t="inlineStr">
        <is>
          <t>Low</t>
        </is>
      </c>
      <c r="C58" s="4" t="n">
        <v>3</v>
      </c>
      <c r="D58" s="4" t="n">
        <v>4</v>
      </c>
      <c r="E58" s="4" t="n">
        <v>0</v>
      </c>
      <c r="F58" s="4" t="n">
        <v>4</v>
      </c>
      <c r="G58" s="4" t="n">
        <v>4</v>
      </c>
      <c r="H58" s="4" t="n">
        <v>0</v>
      </c>
      <c r="I58" s="4" t="b">
        <v>0</v>
      </c>
    </row>
    <row r="59">
      <c r="A59" s="4" t="inlineStr">
        <is>
          <t>MX-IBE+MX-SCH+MX-BRA</t>
        </is>
      </c>
      <c r="B59" s="4" t="inlineStr">
        <is>
          <t>High</t>
        </is>
      </c>
      <c r="C59" s="4" t="n">
        <v>16</v>
      </c>
      <c r="D59" s="4" t="n">
        <v>7</v>
      </c>
      <c r="E59" s="4" t="n">
        <v>13</v>
      </c>
      <c r="F59" s="4" t="n">
        <v>12</v>
      </c>
      <c r="G59" s="4" t="n">
        <v>1</v>
      </c>
      <c r="H59" s="4" t="n">
        <v>7</v>
      </c>
      <c r="I59" s="4" t="b">
        <v>0</v>
      </c>
    </row>
    <row r="60">
      <c r="A60" s="4" t="inlineStr">
        <is>
          <t>MX-IBE+MX-SCH+MX-BRA</t>
        </is>
      </c>
      <c r="B60" s="4" t="inlineStr">
        <is>
          <t>Medium</t>
        </is>
      </c>
      <c r="C60" s="4" t="n">
        <v>17</v>
      </c>
      <c r="D60" s="4" t="n">
        <v>4</v>
      </c>
      <c r="E60" s="4" t="n">
        <v>9</v>
      </c>
      <c r="F60" s="4" t="n">
        <v>12</v>
      </c>
      <c r="G60" s="4" t="n">
        <v>3</v>
      </c>
      <c r="H60" s="4" t="n">
        <v>9</v>
      </c>
      <c r="I60" s="4" t="b">
        <v>0</v>
      </c>
    </row>
    <row r="61">
      <c r="A61" s="4" t="inlineStr">
        <is>
          <t>MX-IBE+MX-SCH+MX-BRA</t>
        </is>
      </c>
      <c r="B61" s="4" t="inlineStr">
        <is>
          <t>Low</t>
        </is>
      </c>
      <c r="C61" s="4" t="n">
        <v>7</v>
      </c>
      <c r="D61" s="4" t="n">
        <v>6</v>
      </c>
      <c r="E61" s="4" t="n">
        <v>4</v>
      </c>
      <c r="F61" s="4" t="n">
        <v>7</v>
      </c>
      <c r="G61" s="4" t="n">
        <v>1</v>
      </c>
      <c r="H61" s="4" t="n">
        <v>4</v>
      </c>
      <c r="I61" s="4" t="b">
        <v>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60" customWidth="1" min="1" max="1"/>
    <col width="18" customWidth="1" min="2" max="2"/>
    <col width="20" customWidth="1" min="3" max="3"/>
    <col width="26" customWidth="1" min="4" max="4"/>
  </cols>
  <sheetData>
    <row r="1">
      <c r="A1" s="1" t="inlineStr">
        <is>
          <t>Deck charts that differ from the sum of their own site charts</t>
        </is>
      </c>
    </row>
    <row r="2">
      <c r="A2" s="2" t="inlineStr">
        <is>
          <t>Values as printed in the decks.</t>
        </is>
      </c>
    </row>
    <row r="4">
      <c r="A4" s="3" t="inlineStr">
        <is>
          <t>Chart</t>
        </is>
      </c>
      <c r="B4" s="3" t="inlineStr">
        <is>
          <t>Site slides</t>
        </is>
      </c>
      <c r="C4" s="3" t="inlineStr">
        <is>
          <t>Deck shows [C, P, NC]</t>
        </is>
      </c>
      <c r="D4" s="3" t="inlineStr">
        <is>
          <t>Sum of site slides [C, P, NC]</t>
        </is>
      </c>
    </row>
    <row r="5">
      <c r="A5" s="4" t="inlineStr">
        <is>
          <t>Global pp.12–15 · Spain &amp; Portugal · Office · High</t>
        </is>
      </c>
      <c r="B5" s="4" t="inlineStr">
        <is>
          <t>ES-MAD + PT-AVE</t>
        </is>
      </c>
      <c r="C5" s="4" t="inlineStr">
        <is>
          <t>[12, 3, 2]</t>
        </is>
      </c>
      <c r="D5" s="4" t="inlineStr">
        <is>
          <t>[12, 4, 1]</t>
        </is>
      </c>
    </row>
    <row r="6">
      <c r="A6" s="4" t="inlineStr">
        <is>
          <t>Global pp.12–15 · Spain &amp; Portugal · Services · High</t>
        </is>
      </c>
      <c r="B6" s="4" t="inlineStr">
        <is>
          <t>ES-ACO</t>
        </is>
      </c>
      <c r="C6" s="4" t="inlineStr">
        <is>
          <t>[10, 0, 0]</t>
        </is>
      </c>
      <c r="D6" s="4" t="inlineStr">
        <is>
          <t>[8, 0, 0]</t>
        </is>
      </c>
    </row>
    <row r="7">
      <c r="A7" s="4" t="inlineStr">
        <is>
          <t>Global pp.14–15 · Spain &amp; Portugal · Services · Medium</t>
        </is>
      </c>
      <c r="B7" s="4" t="inlineStr">
        <is>
          <t>ES-ACO</t>
        </is>
      </c>
      <c r="C7" s="4" t="inlineStr">
        <is>
          <t>[0, 1, 0]</t>
        </is>
      </c>
      <c r="D7" s="4" t="inlineStr">
        <is>
          <t>[2, 1, 0]</t>
        </is>
      </c>
    </row>
    <row r="8">
      <c r="A8" s="4" t="inlineStr">
        <is>
          <t>Global pp.16–17 · Mexico &amp; Colombia · EPC · Medium</t>
        </is>
      </c>
      <c r="B8" s="4" t="inlineStr">
        <is>
          <t>MX-INO + CO-EPC</t>
        </is>
      </c>
      <c r="C8" s="4" t="inlineStr">
        <is>
          <t>[11, 5, 15]</t>
        </is>
      </c>
      <c r="D8" s="4" t="inlineStr">
        <is>
          <t>[10, 6, 15]</t>
        </is>
      </c>
    </row>
    <row r="9">
      <c r="A9" s="4" t="inlineStr">
        <is>
          <t>Global p.19 · Greece &amp; Italy · Office · Medium</t>
        </is>
      </c>
      <c r="B9" s="4" t="inlineStr">
        <is>
          <t>GR-ATH + IT-BUC</t>
        </is>
      </c>
      <c r="C9" s="4" t="inlineStr">
        <is>
          <t>[18, 3, 3]</t>
        </is>
      </c>
      <c r="D9" s="4" t="inlineStr">
        <is>
          <t>[18, 3, 4]</t>
        </is>
      </c>
    </row>
    <row r="10">
      <c r="A10" s="4" t="inlineStr">
        <is>
          <t>Global p.19 · Greece &amp; Italy · Office · Low</t>
        </is>
      </c>
      <c r="B10" s="4" t="inlineStr">
        <is>
          <t>GR-ATH + IT-BUC</t>
        </is>
      </c>
      <c r="C10" s="4" t="inlineStr">
        <is>
          <t>[4, 5, 2]</t>
        </is>
      </c>
      <c r="D10" s="4" t="inlineStr">
        <is>
          <t>[4, 4, 2]</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9" customWidth="1" min="1" max="1"/>
    <col width="70" customWidth="1" min="2" max="2"/>
    <col width="13" customWidth="1" min="3" max="3"/>
    <col width="15" customWidth="1" min="4" max="4"/>
    <col width="8" customWidth="1" min="5" max="5"/>
  </cols>
  <sheetData>
    <row r="1">
      <c r="A1" s="1" t="inlineStr">
        <is>
          <t>Source Excel → dashboard dataset reconciliation</t>
        </is>
      </c>
    </row>
    <row r="4">
      <c r="A4" s="3" t="inlineStr">
        <is>
          <t>Site</t>
        </is>
      </c>
      <c r="B4" s="3" t="inlineStr">
        <is>
          <t>Source file</t>
        </is>
      </c>
      <c r="C4" s="3" t="inlineStr">
        <is>
          <t>Rows in source</t>
        </is>
      </c>
      <c r="D4" s="3" t="inlineStr">
        <is>
          <t>Rows in dashboard</t>
        </is>
      </c>
      <c r="E4" s="3" t="inlineStr">
        <is>
          <t>Match</t>
        </is>
      </c>
    </row>
    <row r="5">
      <c r="A5" s="4" t="inlineStr">
        <is>
          <t>ES-MAD</t>
        </is>
      </c>
      <c r="B5" s="4" t="inlineStr">
        <is>
          <t>2026_06_Checklist_Oficina_Madrid.xlsx</t>
        </is>
      </c>
      <c r="C5" s="4" t="n">
        <v>31</v>
      </c>
      <c r="D5" s="4" t="n">
        <v>31</v>
      </c>
      <c r="E5" s="4" t="b">
        <v>1</v>
      </c>
    </row>
    <row r="6">
      <c r="A6" s="4" t="inlineStr">
        <is>
          <t>ES-MEC</t>
        </is>
      </c>
      <c r="B6" s="4" t="inlineStr">
        <is>
          <t>2026_06_Checklist_Meco_Warehouse.xlsx</t>
        </is>
      </c>
      <c r="C6" s="4" t="n">
        <v>78</v>
      </c>
      <c r="D6" s="4" t="n">
        <v>78</v>
      </c>
      <c r="E6" s="4" t="b">
        <v>1</v>
      </c>
    </row>
    <row r="7">
      <c r="A7" s="4" t="inlineStr">
        <is>
          <t>ES-SEV</t>
        </is>
      </c>
      <c r="B7" s="4" t="inlineStr">
        <is>
          <t>2026_06_Checklist_Sevilla_Warehouse.xlsx</t>
        </is>
      </c>
      <c r="C7" s="4" t="n">
        <v>78</v>
      </c>
      <c r="D7" s="4" t="n">
        <v>78</v>
      </c>
      <c r="E7" s="4" t="b">
        <v>1</v>
      </c>
    </row>
    <row r="8">
      <c r="A8" s="4" t="inlineStr">
        <is>
          <t>ES-VAL</t>
        </is>
      </c>
      <c r="B8" s="4" t="inlineStr">
        <is>
          <t>2026_06_Checklist_Valencia_Warehouse.xlsx</t>
        </is>
      </c>
      <c r="C8" s="4" t="n">
        <v>78</v>
      </c>
      <c r="D8" s="4" t="n">
        <v>78</v>
      </c>
      <c r="E8" s="4" t="b">
        <v>1</v>
      </c>
    </row>
    <row r="9">
      <c r="A9" s="4" t="inlineStr">
        <is>
          <t>ES-AND</t>
        </is>
      </c>
      <c r="B9" s="4" t="inlineStr">
        <is>
          <t>2026_06_Checklist_Andoain_Warehouse.xlsx</t>
        </is>
      </c>
      <c r="C9" s="4" t="n">
        <v>58</v>
      </c>
      <c r="D9" s="4" t="n">
        <v>58</v>
      </c>
      <c r="E9" s="4" t="b">
        <v>1</v>
      </c>
    </row>
    <row r="10">
      <c r="A10" s="4" t="inlineStr">
        <is>
          <t>ES-BUR</t>
        </is>
      </c>
      <c r="B10" s="4" t="inlineStr">
        <is>
          <t>2026_06_Checklist_Burgos_Warehouse.xlsx</t>
        </is>
      </c>
      <c r="C10" s="4" t="n">
        <v>72</v>
      </c>
      <c r="D10" s="4" t="n">
        <v>72</v>
      </c>
      <c r="E10" s="4" t="b">
        <v>1</v>
      </c>
    </row>
    <row r="11">
      <c r="A11" s="4" t="inlineStr">
        <is>
          <t>ES-VIT</t>
        </is>
      </c>
      <c r="B11" s="4" t="inlineStr">
        <is>
          <t>2026-06_Checklist_ES_Planta_Industrial_Vitoria.xlsx</t>
        </is>
      </c>
      <c r="C11" s="4" t="n">
        <v>81</v>
      </c>
      <c r="D11" s="4" t="n">
        <v>81</v>
      </c>
      <c r="E11" s="4" t="b">
        <v>1</v>
      </c>
    </row>
    <row r="12">
      <c r="A12" s="4" t="inlineStr">
        <is>
          <t>ES-ACO</t>
        </is>
      </c>
      <c r="B12" s="4" t="inlineStr">
        <is>
          <t>2026-06_Checklist_ACoruna_Amara_NZero_Repsol_Requisitos_legales.xlsx</t>
        </is>
      </c>
      <c r="C12" s="4" t="n">
        <v>11</v>
      </c>
      <c r="D12" s="4" t="n">
        <v>11</v>
      </c>
      <c r="E12" s="4" t="b">
        <v>1</v>
      </c>
    </row>
    <row r="13">
      <c r="A13" s="4" t="inlineStr">
        <is>
          <t>PT-AVE</t>
        </is>
      </c>
      <c r="B13" s="4" t="inlineStr">
        <is>
          <t>2026_06_Amara_NZero_Office_Aveiro_Checklist.xlsx</t>
        </is>
      </c>
      <c r="C13" s="4" t="n">
        <v>45</v>
      </c>
      <c r="D13" s="4" t="n">
        <v>45</v>
      </c>
      <c r="E13" s="4" t="b">
        <v>1</v>
      </c>
    </row>
    <row r="14">
      <c r="A14" s="4" t="inlineStr">
        <is>
          <t>MX-MTY</t>
        </is>
      </c>
      <c r="B14" s="4" t="inlineStr">
        <is>
          <t>2026_06_Checklist_MX_Almacen_Monterrey.xlsx</t>
        </is>
      </c>
      <c r="C14" s="4" t="n">
        <v>81</v>
      </c>
      <c r="D14" s="4" t="n">
        <v>81</v>
      </c>
      <c r="E14" s="4" t="b">
        <v>1</v>
      </c>
    </row>
    <row r="15">
      <c r="A15" s="4" t="inlineStr">
        <is>
          <t>MX-CDMX</t>
        </is>
      </c>
      <c r="B15" s="4" t="inlineStr">
        <is>
          <t>2026_06_Checklist_Oficina_CDMX_Mexico.xlsx</t>
        </is>
      </c>
      <c r="C15" s="4" t="n">
        <v>47</v>
      </c>
      <c r="D15" s="4" t="n">
        <v>47</v>
      </c>
      <c r="E15" s="4" t="b">
        <v>1</v>
      </c>
    </row>
    <row r="16">
      <c r="A16" s="4" t="inlineStr">
        <is>
          <t>MX-INO</t>
        </is>
      </c>
      <c r="B16" s="4" t="inlineStr">
        <is>
          <t>2026_06_Site_Visit_Report_EPC_INOAC.xlsx</t>
        </is>
      </c>
      <c r="C16" s="4" t="n">
        <v>38</v>
      </c>
      <c r="D16" s="4" t="n">
        <v>38</v>
      </c>
      <c r="E16" s="4" t="b">
        <v>1</v>
      </c>
    </row>
    <row r="17">
      <c r="A17" s="4" t="inlineStr">
        <is>
          <t>MX-IBE</t>
        </is>
      </c>
      <c r="B17" s="4" t="inlineStr">
        <is>
          <t>2026_06_Checklist_Almacen_Cliente_Mexico_Iberdrola.xlsx</t>
        </is>
      </c>
      <c r="C17" s="4" t="n">
        <v>17</v>
      </c>
      <c r="D17" s="4" t="n">
        <v>17</v>
      </c>
      <c r="E17" s="4" t="b">
        <v>1</v>
      </c>
    </row>
    <row r="18">
      <c r="A18" s="4" t="inlineStr">
        <is>
          <t>MX-BRA</t>
        </is>
      </c>
      <c r="B18" s="4" t="inlineStr">
        <is>
          <t>2026_06_Checklist_Almacen_Cliente Braskem_Mexico.xlsx</t>
        </is>
      </c>
      <c r="C18" s="4" t="n">
        <v>17</v>
      </c>
      <c r="D18" s="4" t="n">
        <v>17</v>
      </c>
      <c r="E18" s="4" t="b">
        <v>1</v>
      </c>
    </row>
    <row r="19">
      <c r="A19" s="4" t="inlineStr">
        <is>
          <t>MX-SCH</t>
        </is>
      </c>
      <c r="B19" s="4" t="inlineStr">
        <is>
          <t>2026_06_Site_Visit_Report_Schneider_Servicios_generales_Monterrey.xlsx</t>
        </is>
      </c>
      <c r="C19" s="4" t="n">
        <v>25</v>
      </c>
      <c r="D19" s="4" t="n">
        <v>25</v>
      </c>
      <c r="E19" s="4" t="b">
        <v>1</v>
      </c>
    </row>
    <row r="20">
      <c r="A20" s="4" t="inlineStr">
        <is>
          <t>MX-CHE</t>
        </is>
      </c>
      <c r="B20" s="4" t="inlineStr">
        <is>
          <t>2026_06_Site_Visit_Report_Chetumal_Servicios_generales.xlsx</t>
        </is>
      </c>
      <c r="C20" s="4" t="n">
        <v>25</v>
      </c>
      <c r="D20" s="4" t="n">
        <v>25</v>
      </c>
      <c r="E20" s="4" t="b">
        <v>1</v>
      </c>
    </row>
    <row r="21">
      <c r="A21" s="4" t="inlineStr">
        <is>
          <t>MX-ALT</t>
        </is>
      </c>
      <c r="B21" s="4" t="inlineStr">
        <is>
          <t>2026_06_Checklist_Almacen y servicios_Cliente_Mexico_Altamira_Quantum.xlsx</t>
        </is>
      </c>
      <c r="C21" s="4" t="n">
        <v>17</v>
      </c>
      <c r="D21" s="4" t="n">
        <v>17</v>
      </c>
      <c r="E21" s="4" t="b">
        <v>1</v>
      </c>
    </row>
    <row r="22">
      <c r="A22" s="4" t="inlineStr">
        <is>
          <t>CO-HOM</t>
        </is>
      </c>
      <c r="B22" s="4" t="inlineStr">
        <is>
          <t>2026_06_Checklist_Colombia_Teletrabajo.xlsx</t>
        </is>
      </c>
      <c r="C22" s="4" t="n">
        <v>21</v>
      </c>
      <c r="D22" s="4" t="n">
        <v>21</v>
      </c>
      <c r="E22" s="4" t="b">
        <v>1</v>
      </c>
    </row>
    <row r="23">
      <c r="A23" s="4" t="inlineStr">
        <is>
          <t>CO-EPC</t>
        </is>
      </c>
      <c r="B23" s="4" t="inlineStr">
        <is>
          <t>2026_06_Colombia_EPC_Solar_Checklist_AmaraNZero.xlsx</t>
        </is>
      </c>
      <c r="C23" s="4" t="n">
        <v>49</v>
      </c>
      <c r="D23" s="4" t="n">
        <v>49</v>
      </c>
      <c r="E23" s="4" t="b">
        <v>1</v>
      </c>
    </row>
    <row r="24">
      <c r="A24" s="4" t="inlineStr">
        <is>
          <t>FR-OFF</t>
        </is>
      </c>
      <c r="B24" s="4" t="inlineStr">
        <is>
          <t>2026_06_Checklist_Amara_NZero_France_Office_FR.xlsx</t>
        </is>
      </c>
      <c r="C24" s="4" t="n">
        <v>30</v>
      </c>
      <c r="D24" s="4" t="n">
        <v>30</v>
      </c>
      <c r="E24" s="4" t="b">
        <v>1</v>
      </c>
    </row>
    <row r="25">
      <c r="A25" s="4" t="inlineStr">
        <is>
          <t>FR-EPC</t>
        </is>
      </c>
      <c r="B25" s="4" t="inlineStr">
        <is>
          <t>2026_06_Checklist_Amara_NZero_France_EPC.xlsx</t>
        </is>
      </c>
      <c r="C25" s="4" t="n">
        <v>31</v>
      </c>
      <c r="D25" s="4" t="n">
        <v>31</v>
      </c>
      <c r="E25" s="4" t="b">
        <v>1</v>
      </c>
    </row>
    <row r="26">
      <c r="A26" s="4" t="inlineStr">
        <is>
          <t>GR-ATH</t>
        </is>
      </c>
      <c r="B26" s="4" t="inlineStr">
        <is>
          <t>2026_06_Amara_NZero_Checklist_Greece.xlsx</t>
        </is>
      </c>
      <c r="C26" s="4" t="n">
        <v>28</v>
      </c>
      <c r="D26" s="4" t="n">
        <v>28</v>
      </c>
      <c r="E26" s="4" t="b">
        <v>1</v>
      </c>
    </row>
    <row r="27">
      <c r="A27" s="4" t="inlineStr">
        <is>
          <t>IT-BUC</t>
        </is>
      </c>
      <c r="B27" s="4" t="inlineStr">
        <is>
          <t>2026_06_Checklist_IT_Office_Buccinasco.xlsx</t>
        </is>
      </c>
      <c r="C27" s="4" t="n">
        <v>44</v>
      </c>
      <c r="D27" s="4" t="n">
        <v>44</v>
      </c>
      <c r="E27" s="4" t="b">
        <v>1</v>
      </c>
    </row>
    <row r="28">
      <c r="B28" s="6" t="inlineStr">
        <is>
          <t>Total</t>
        </is>
      </c>
      <c r="C28" s="6">
        <f>SUM(C5:C27)</f>
        <v/>
      </c>
      <c r="D28" s="6">
        <f>SUM(D5:D27)</f>
        <v/>
      </c>
    </row>
    <row r="30">
      <c r="A30" s="2" t="inlineStr">
        <is>
          <t>Cell-by-cell comparison of every field: 0 mismatches (status values read from cell colour are listed on the records workbook 'Status mapping'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2026-10-03T13:34:13Z</dcterms:created>
  <dcterms:modified xmlns:dcterms="http://purl.org/dc/terms/" xmlns:xsi="http://www.w3.org/2001/XMLSchema-instance" xsi:type="dcterms:W3CDTF">2026-10-03T13:34:14Z</dcterms:modified>
</cp:coreProperties>
</file>