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7.xml" ContentType="application/vnd.openxmlformats-officedocument.drawing+xml"/>
  <Override PartName="/xl/charts/chart51.xml" ContentType="application/vnd.openxmlformats-officedocument.drawingml.chart+xml"/>
  <Override PartName="/xl/drawings/drawing8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9.xml" ContentType="application/vnd.openxmlformats-officedocument.drawing+xml"/>
  <Override PartName="/xl/charts/chart63.xml" ContentType="application/vnd.openxmlformats-officedocument.drawingml.chart+xml"/>
  <Override PartName="/xl/drawings/drawing10.xml" ContentType="application/vnd.openxmlformats-officedocument.drawing+xml"/>
  <Override PartName="/xl/charts/chart64.xml" ContentType="application/vnd.openxmlformats-officedocument.drawingml.chart+xml"/>
  <Override PartName="/xl/drawings/drawing11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2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3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DANT M BHATIA\Downloads\amara_compliance_app\amara_compliance_app\exports\"/>
    </mc:Choice>
  </mc:AlternateContent>
  <xr:revisionPtr revIDLastSave="0" documentId="13_ncr:1_{7D24D307-703D-4CC8-BDE3-E52E7B921912}" xr6:coauthVersionLast="47" xr6:coauthVersionMax="47" xr10:uidLastSave="{00000000-0000-0000-0000-000000000000}"/>
  <bookViews>
    <workbookView xWindow="-120" yWindow="-120" windowWidth="29040" windowHeight="15720" firstSheet="12" activeTab="19" xr2:uid="{00000000-000D-0000-FFFF-FFFF00000000}"/>
  </bookViews>
  <sheets>
    <sheet name="README" sheetId="1" r:id="rId1"/>
    <sheet name="P1 Country x type" sheetId="2" r:id="rId2"/>
    <sheet name="P1 Regulations" sheetId="3" r:id="rId3"/>
    <sheet name="P1 Requirements per site" sheetId="4" r:id="rId4"/>
    <sheet name="P1 KPIs" sheetId="5" r:id="rId5"/>
    <sheet name="P2 Site criticality" sheetId="6" r:id="rId6"/>
    <sheet name="P2 Site status (checklist)" sheetId="7" r:id="rId7"/>
    <sheet name="P2 Crit x status (checklist)" sheetId="8" r:id="rId8"/>
    <sheet name="P2 Key activity (checklist)" sheetId="9" r:id="rId9"/>
    <sheet name="P2 Report dots" sheetId="10" r:id="rId10"/>
    <sheet name="P3 Cluster business" sheetId="11" r:id="rId11"/>
    <sheet name="P3 Cluster KPIs" sheetId="12" r:id="rId12"/>
    <sheet name="P3 Cluster mix" sheetId="13" r:id="rId13"/>
    <sheet name="P3 Site heatmap" sheetId="14" r:id="rId14"/>
    <sheet name="P4 Global high" sheetId="15" r:id="rId15"/>
    <sheet name="P4 High by cluster" sheetId="16" r:id="rId16"/>
    <sheet name="P4 High mix" sheetId="17" r:id="rId17"/>
    <sheet name="P4 All criticality" sheetId="18" r:id="rId18"/>
    <sheet name="P4 KPIs" sheetId="19" r:id="rId19"/>
    <sheet name="QA Deck vs checklist" sheetId="20" r:id="rId20"/>
    <sheet name="QA Deck internal" sheetId="21" r:id="rId21"/>
    <sheet name="QA Reconciliation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2" l="1"/>
  <c r="C28" i="22"/>
  <c r="D57" i="18"/>
  <c r="C57" i="18"/>
  <c r="B57" i="18"/>
  <c r="E56" i="18"/>
  <c r="E55" i="18"/>
  <c r="E54" i="18"/>
  <c r="E57" i="18" s="1"/>
  <c r="D41" i="18"/>
  <c r="C41" i="18"/>
  <c r="B41" i="18"/>
  <c r="E40" i="18"/>
  <c r="E39" i="18"/>
  <c r="E38" i="18"/>
  <c r="E41" i="18" s="1"/>
  <c r="D25" i="18"/>
  <c r="C25" i="18"/>
  <c r="B25" i="18"/>
  <c r="E24" i="18"/>
  <c r="E23" i="18"/>
  <c r="E22" i="18"/>
  <c r="E25" i="18" s="1"/>
  <c r="D9" i="18"/>
  <c r="C9" i="18"/>
  <c r="B9" i="18"/>
  <c r="E8" i="18"/>
  <c r="E7" i="18"/>
  <c r="E6" i="18"/>
  <c r="E9" i="18" s="1"/>
  <c r="H17" i="17"/>
  <c r="F17" i="17"/>
  <c r="E17" i="17"/>
  <c r="G17" i="17" s="1"/>
  <c r="E16" i="17"/>
  <c r="G16" i="17" s="1"/>
  <c r="H15" i="17"/>
  <c r="F15" i="17"/>
  <c r="E15" i="17"/>
  <c r="G15" i="17" s="1"/>
  <c r="E14" i="17"/>
  <c r="G14" i="17" s="1"/>
  <c r="H13" i="17"/>
  <c r="F13" i="17"/>
  <c r="E13" i="17"/>
  <c r="G13" i="17" s="1"/>
  <c r="E8" i="17"/>
  <c r="G8" i="17" s="1"/>
  <c r="H7" i="17"/>
  <c r="F7" i="17"/>
  <c r="E7" i="17"/>
  <c r="G7" i="17" s="1"/>
  <c r="E6" i="17"/>
  <c r="G6" i="17" s="1"/>
  <c r="H5" i="17"/>
  <c r="F5" i="17"/>
  <c r="E5" i="17"/>
  <c r="G5" i="17" s="1"/>
  <c r="E57" i="16"/>
  <c r="E41" i="16"/>
  <c r="E40" i="16"/>
  <c r="E26" i="16"/>
  <c r="E25" i="16"/>
  <c r="E24" i="16"/>
  <c r="E23" i="16"/>
  <c r="E9" i="16"/>
  <c r="E8" i="16"/>
  <c r="E7" i="16"/>
  <c r="E6" i="16"/>
  <c r="F16" i="15"/>
  <c r="B8" i="19" s="1"/>
  <c r="E16" i="15"/>
  <c r="B7" i="19" s="1"/>
  <c r="B9" i="19" s="1"/>
  <c r="D16" i="15"/>
  <c r="B6" i="19" s="1"/>
  <c r="I15" i="15"/>
  <c r="G15" i="15"/>
  <c r="I14" i="15"/>
  <c r="G14" i="15"/>
  <c r="I13" i="15"/>
  <c r="G13" i="15"/>
  <c r="I12" i="15"/>
  <c r="G12" i="15"/>
  <c r="I11" i="15"/>
  <c r="G11" i="15"/>
  <c r="I10" i="15"/>
  <c r="G10" i="15"/>
  <c r="I9" i="15"/>
  <c r="G9" i="15"/>
  <c r="I8" i="15"/>
  <c r="G8" i="15"/>
  <c r="I7" i="15"/>
  <c r="G7" i="15"/>
  <c r="I6" i="15"/>
  <c r="G6" i="15"/>
  <c r="I5" i="15"/>
  <c r="G5" i="15"/>
  <c r="G16" i="15" s="1"/>
  <c r="B5" i="19" s="1"/>
  <c r="K23" i="14"/>
  <c r="J23" i="14"/>
  <c r="I23" i="14"/>
  <c r="K22" i="14"/>
  <c r="J22" i="14"/>
  <c r="I22" i="14"/>
  <c r="K21" i="14"/>
  <c r="J21" i="14"/>
  <c r="I21" i="14"/>
  <c r="K20" i="14"/>
  <c r="J20" i="14"/>
  <c r="I20" i="14"/>
  <c r="K19" i="14"/>
  <c r="J19" i="14"/>
  <c r="I19" i="14"/>
  <c r="K18" i="14"/>
  <c r="J18" i="14"/>
  <c r="I18" i="14"/>
  <c r="K17" i="14"/>
  <c r="J17" i="14"/>
  <c r="I17" i="14"/>
  <c r="K16" i="14"/>
  <c r="J16" i="14"/>
  <c r="I16" i="14"/>
  <c r="K15" i="14"/>
  <c r="J15" i="14"/>
  <c r="I15" i="14"/>
  <c r="K14" i="14"/>
  <c r="J14" i="14"/>
  <c r="I14" i="14"/>
  <c r="K13" i="14"/>
  <c r="J13" i="14"/>
  <c r="I13" i="14"/>
  <c r="K12" i="14"/>
  <c r="J12" i="14"/>
  <c r="I12" i="14"/>
  <c r="K11" i="14"/>
  <c r="J11" i="14"/>
  <c r="I11" i="14"/>
  <c r="K10" i="14"/>
  <c r="J10" i="14"/>
  <c r="I10" i="14"/>
  <c r="K9" i="14"/>
  <c r="J9" i="14"/>
  <c r="I9" i="14"/>
  <c r="K8" i="14"/>
  <c r="J8" i="14"/>
  <c r="I8" i="14"/>
  <c r="K7" i="14"/>
  <c r="J7" i="14"/>
  <c r="I7" i="14"/>
  <c r="K6" i="14"/>
  <c r="J6" i="14"/>
  <c r="I6" i="14"/>
  <c r="K5" i="14"/>
  <c r="J5" i="14"/>
  <c r="I5" i="14"/>
  <c r="I15" i="13"/>
  <c r="F15" i="13"/>
  <c r="H15" i="13" s="1"/>
  <c r="I14" i="13"/>
  <c r="H14" i="13"/>
  <c r="G14" i="13"/>
  <c r="F14" i="13"/>
  <c r="I13" i="13"/>
  <c r="F13" i="13"/>
  <c r="H13" i="13" s="1"/>
  <c r="I12" i="13"/>
  <c r="H12" i="13"/>
  <c r="G12" i="13"/>
  <c r="F12" i="13"/>
  <c r="I11" i="13"/>
  <c r="F11" i="13"/>
  <c r="H11" i="13" s="1"/>
  <c r="I10" i="13"/>
  <c r="H10" i="13"/>
  <c r="G10" i="13"/>
  <c r="F10" i="13"/>
  <c r="I9" i="13"/>
  <c r="F9" i="13"/>
  <c r="H9" i="13" s="1"/>
  <c r="I8" i="13"/>
  <c r="H8" i="13"/>
  <c r="G8" i="13"/>
  <c r="F8" i="13"/>
  <c r="I7" i="13"/>
  <c r="F7" i="13"/>
  <c r="H7" i="13" s="1"/>
  <c r="I6" i="13"/>
  <c r="H6" i="13"/>
  <c r="G6" i="13"/>
  <c r="F6" i="13"/>
  <c r="I5" i="13"/>
  <c r="F5" i="13"/>
  <c r="H5" i="13" s="1"/>
  <c r="F8" i="12"/>
  <c r="G8" i="12" s="1"/>
  <c r="G7" i="12"/>
  <c r="F7" i="12"/>
  <c r="G6" i="12"/>
  <c r="F6" i="12"/>
  <c r="F5" i="12"/>
  <c r="G5" i="12" s="1"/>
  <c r="D169" i="11"/>
  <c r="C169" i="11"/>
  <c r="B169" i="11"/>
  <c r="E168" i="11"/>
  <c r="E169" i="11" s="1"/>
  <c r="E167" i="11"/>
  <c r="E166" i="11"/>
  <c r="D153" i="11"/>
  <c r="C153" i="11"/>
  <c r="B153" i="11"/>
  <c r="E152" i="11"/>
  <c r="E151" i="11"/>
  <c r="E153" i="11" s="1"/>
  <c r="E150" i="11"/>
  <c r="D137" i="11"/>
  <c r="C137" i="11"/>
  <c r="B137" i="11"/>
  <c r="E136" i="11"/>
  <c r="E135" i="11"/>
  <c r="E134" i="11"/>
  <c r="E137" i="11" s="1"/>
  <c r="D121" i="11"/>
  <c r="C121" i="11"/>
  <c r="B121" i="11"/>
  <c r="E120" i="11"/>
  <c r="E119" i="11"/>
  <c r="E118" i="11"/>
  <c r="E121" i="11" s="1"/>
  <c r="D105" i="11"/>
  <c r="C105" i="11"/>
  <c r="B105" i="11"/>
  <c r="E104" i="11"/>
  <c r="E103" i="11"/>
  <c r="E102" i="11"/>
  <c r="E105" i="11" s="1"/>
  <c r="D89" i="11"/>
  <c r="C89" i="11"/>
  <c r="B89" i="11"/>
  <c r="E88" i="11"/>
  <c r="E87" i="11"/>
  <c r="E86" i="11"/>
  <c r="E89" i="11" s="1"/>
  <c r="E73" i="11"/>
  <c r="D73" i="11"/>
  <c r="C73" i="11"/>
  <c r="B73" i="11"/>
  <c r="E72" i="11"/>
  <c r="E71" i="11"/>
  <c r="E70" i="11"/>
  <c r="E57" i="11"/>
  <c r="D57" i="11"/>
  <c r="C57" i="11"/>
  <c r="B57" i="11"/>
  <c r="E56" i="11"/>
  <c r="E55" i="11"/>
  <c r="E54" i="11"/>
  <c r="D41" i="11"/>
  <c r="C41" i="11"/>
  <c r="B41" i="11"/>
  <c r="E40" i="11"/>
  <c r="E41" i="11" s="1"/>
  <c r="E39" i="11"/>
  <c r="E38" i="11"/>
  <c r="D25" i="11"/>
  <c r="C25" i="11"/>
  <c r="B25" i="11"/>
  <c r="E24" i="11"/>
  <c r="E23" i="11"/>
  <c r="E25" i="11" s="1"/>
  <c r="E22" i="11"/>
  <c r="D9" i="11"/>
  <c r="C9" i="11"/>
  <c r="B9" i="11"/>
  <c r="E8" i="11"/>
  <c r="E7" i="11"/>
  <c r="E6" i="11"/>
  <c r="E9" i="11" s="1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28" i="7"/>
  <c r="H28" i="7"/>
  <c r="G28" i="7"/>
  <c r="F28" i="7"/>
  <c r="E28" i="7"/>
  <c r="D28" i="7"/>
  <c r="C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D361" i="6"/>
  <c r="C361" i="6"/>
  <c r="B361" i="6"/>
  <c r="E360" i="6"/>
  <c r="E359" i="6"/>
  <c r="E358" i="6"/>
  <c r="E361" i="6" s="1"/>
  <c r="D345" i="6"/>
  <c r="C345" i="6"/>
  <c r="B345" i="6"/>
  <c r="E344" i="6"/>
  <c r="E343" i="6"/>
  <c r="E342" i="6"/>
  <c r="E345" i="6" s="1"/>
  <c r="D329" i="6"/>
  <c r="C329" i="6"/>
  <c r="B329" i="6"/>
  <c r="E328" i="6"/>
  <c r="E327" i="6"/>
  <c r="E326" i="6"/>
  <c r="E329" i="6" s="1"/>
  <c r="D313" i="6"/>
  <c r="C313" i="6"/>
  <c r="B313" i="6"/>
  <c r="E312" i="6"/>
  <c r="E311" i="6"/>
  <c r="E310" i="6"/>
  <c r="E313" i="6" s="1"/>
  <c r="D297" i="6"/>
  <c r="C297" i="6"/>
  <c r="B297" i="6"/>
  <c r="E296" i="6"/>
  <c r="E295" i="6"/>
  <c r="E294" i="6"/>
  <c r="E297" i="6" s="1"/>
  <c r="E281" i="6"/>
  <c r="D281" i="6"/>
  <c r="C281" i="6"/>
  <c r="B281" i="6"/>
  <c r="E280" i="6"/>
  <c r="E279" i="6"/>
  <c r="E278" i="6"/>
  <c r="E265" i="6"/>
  <c r="D265" i="6"/>
  <c r="C265" i="6"/>
  <c r="B265" i="6"/>
  <c r="E264" i="6"/>
  <c r="E263" i="6"/>
  <c r="E262" i="6"/>
  <c r="D249" i="6"/>
  <c r="C249" i="6"/>
  <c r="B249" i="6"/>
  <c r="E248" i="6"/>
  <c r="E249" i="6" s="1"/>
  <c r="E247" i="6"/>
  <c r="E246" i="6"/>
  <c r="D233" i="6"/>
  <c r="C233" i="6"/>
  <c r="B233" i="6"/>
  <c r="E232" i="6"/>
  <c r="E231" i="6"/>
  <c r="E230" i="6"/>
  <c r="E233" i="6" s="1"/>
  <c r="D217" i="6"/>
  <c r="C217" i="6"/>
  <c r="B217" i="6"/>
  <c r="E216" i="6"/>
  <c r="E215" i="6"/>
  <c r="E214" i="6"/>
  <c r="E217" i="6" s="1"/>
  <c r="D201" i="6"/>
  <c r="C201" i="6"/>
  <c r="B201" i="6"/>
  <c r="E200" i="6"/>
  <c r="E199" i="6"/>
  <c r="E198" i="6"/>
  <c r="E201" i="6" s="1"/>
  <c r="D185" i="6"/>
  <c r="C185" i="6"/>
  <c r="B185" i="6"/>
  <c r="E184" i="6"/>
  <c r="E183" i="6"/>
  <c r="E182" i="6"/>
  <c r="E185" i="6" s="1"/>
  <c r="D169" i="6"/>
  <c r="C169" i="6"/>
  <c r="B169" i="6"/>
  <c r="E168" i="6"/>
  <c r="E167" i="6"/>
  <c r="E166" i="6"/>
  <c r="E169" i="6" s="1"/>
  <c r="E153" i="6"/>
  <c r="D153" i="6"/>
  <c r="C153" i="6"/>
  <c r="B153" i="6"/>
  <c r="E152" i="6"/>
  <c r="E151" i="6"/>
  <c r="E150" i="6"/>
  <c r="E137" i="6"/>
  <c r="D137" i="6"/>
  <c r="C137" i="6"/>
  <c r="B137" i="6"/>
  <c r="E136" i="6"/>
  <c r="E135" i="6"/>
  <c r="E134" i="6"/>
  <c r="D121" i="6"/>
  <c r="C121" i="6"/>
  <c r="B121" i="6"/>
  <c r="E120" i="6"/>
  <c r="E121" i="6" s="1"/>
  <c r="E119" i="6"/>
  <c r="E118" i="6"/>
  <c r="D105" i="6"/>
  <c r="C105" i="6"/>
  <c r="B105" i="6"/>
  <c r="E104" i="6"/>
  <c r="E103" i="6"/>
  <c r="E102" i="6"/>
  <c r="E105" i="6" s="1"/>
  <c r="D89" i="6"/>
  <c r="C89" i="6"/>
  <c r="B89" i="6"/>
  <c r="E88" i="6"/>
  <c r="E87" i="6"/>
  <c r="E86" i="6"/>
  <c r="E89" i="6" s="1"/>
  <c r="D73" i="6"/>
  <c r="C73" i="6"/>
  <c r="B73" i="6"/>
  <c r="E72" i="6"/>
  <c r="E71" i="6"/>
  <c r="E70" i="6"/>
  <c r="E73" i="6" s="1"/>
  <c r="D57" i="6"/>
  <c r="C57" i="6"/>
  <c r="B57" i="6"/>
  <c r="E56" i="6"/>
  <c r="E55" i="6"/>
  <c r="E54" i="6"/>
  <c r="E57" i="6" s="1"/>
  <c r="D41" i="6"/>
  <c r="C41" i="6"/>
  <c r="B41" i="6"/>
  <c r="E40" i="6"/>
  <c r="E39" i="6"/>
  <c r="E38" i="6"/>
  <c r="E41" i="6" s="1"/>
  <c r="E25" i="6"/>
  <c r="D25" i="6"/>
  <c r="C25" i="6"/>
  <c r="B25" i="6"/>
  <c r="E24" i="6"/>
  <c r="E23" i="6"/>
  <c r="E22" i="6"/>
  <c r="E9" i="6"/>
  <c r="D9" i="6"/>
  <c r="C9" i="6"/>
  <c r="B9" i="6"/>
  <c r="E8" i="6"/>
  <c r="E7" i="6"/>
  <c r="E6" i="6"/>
  <c r="E28" i="4"/>
  <c r="F12" i="2"/>
  <c r="E12" i="2"/>
  <c r="D12" i="2"/>
  <c r="C12" i="2"/>
  <c r="B12" i="2"/>
  <c r="G11" i="2"/>
  <c r="G10" i="2"/>
  <c r="G9" i="2"/>
  <c r="G8" i="2"/>
  <c r="G12" i="2" s="1"/>
  <c r="G7" i="2"/>
  <c r="G6" i="2"/>
  <c r="G5" i="2"/>
  <c r="F14" i="17" l="1"/>
  <c r="G5" i="13"/>
  <c r="G7" i="13"/>
  <c r="G9" i="13"/>
  <c r="G11" i="13"/>
  <c r="G13" i="13"/>
  <c r="G15" i="13"/>
  <c r="H6" i="17"/>
  <c r="H8" i="17"/>
  <c r="H14" i="17"/>
  <c r="H16" i="17"/>
  <c r="F6" i="17"/>
  <c r="F8" i="17"/>
  <c r="F16" i="17"/>
</calcChain>
</file>

<file path=xl/sharedStrings.xml><?xml version="1.0" encoding="utf-8"?>
<sst xmlns="http://schemas.openxmlformats.org/spreadsheetml/2006/main" count="2706" uniqueCount="976">
  <si>
    <t>Amara NZero · Data behind every dashboard chart</t>
  </si>
  <si>
    <t>Each sheet = one chart: the table it plots (totals as SUM formulas you can check) and the same chart in Excel.</t>
  </si>
  <si>
    <t>Sheet</t>
  </si>
  <si>
    <t>Chart / content</t>
  </si>
  <si>
    <t>P1 Country x type</t>
  </si>
  <si>
    <t>Page 1 · requirements by country and type of business (treemap + matrix)</t>
  </si>
  <si>
    <t>P1 Regulations</t>
  </si>
  <si>
    <t>Page 1 · most-referenced regulations (top 15 charted, full list below)</t>
  </si>
  <si>
    <t>P1 Requirements per site</t>
  </si>
  <si>
    <t>Page 1 · requirements per site</t>
  </si>
  <si>
    <t>P1 KPIs</t>
  </si>
  <si>
    <t>Page 1 · headline numbers</t>
  </si>
  <si>
    <t>P2 Site criticality</t>
  </si>
  <si>
    <t>Page 2 · 'Compliance status by criticality' for every site (deck figures, or checklist where the deck has no site chart)</t>
  </si>
  <si>
    <t>P2 Site status (checklist)</t>
  </si>
  <si>
    <t>Page 2 · overall status of all checklist items per site (donut) + KPIs</t>
  </si>
  <si>
    <t>P2 Crit x status (checklist)</t>
  </si>
  <si>
    <t>Page 2 · checklist records by criticality and status per site (table under the donut)</t>
  </si>
  <si>
    <t>P2 Key activity (checklist)</t>
  </si>
  <si>
    <t>Page 2 · compliance by key activity per site</t>
  </si>
  <si>
    <t>P2 Report dots</t>
  </si>
  <si>
    <t>Page 2 · site-visit report compliance dots per site</t>
  </si>
  <si>
    <t>P3 Cluster business</t>
  </si>
  <si>
    <t>Page 3 · compliance status per criticality of business, per cluster (deck)</t>
  </si>
  <si>
    <t>P3 Cluster KPIs</t>
  </si>
  <si>
    <t>Page 3 · cluster KPI tiles</t>
  </si>
  <si>
    <t>P3 Cluster mix</t>
  </si>
  <si>
    <t>Page 3 · compliance mix by type of business (%)</t>
  </si>
  <si>
    <t>P3 Site heatmap</t>
  </si>
  <si>
    <t>Page 3 · share compliant by site and criticality</t>
  </si>
  <si>
    <t>P4 Global high</t>
  </si>
  <si>
    <t>Page 4 · high criticality by type of business and cluster (deck)</t>
  </si>
  <si>
    <t>P4 High by cluster</t>
  </si>
  <si>
    <t>Page 4 · one chart per cluster, high criticality</t>
  </si>
  <si>
    <t>P4 High mix</t>
  </si>
  <si>
    <t>Page 4 · high-criticality mix per cluster and per type of business (%)</t>
  </si>
  <si>
    <t>P4 All criticality</t>
  </si>
  <si>
    <t>Page 4 · all criticality levels per cluster</t>
  </si>
  <si>
    <t>P4 KPIs</t>
  </si>
  <si>
    <t>Page 4 · headline numbers</t>
  </si>
  <si>
    <t>QA Deck vs checklist</t>
  </si>
  <si>
    <t>QA · deck chart figures compared with counts from the checklists</t>
  </si>
  <si>
    <t>QA Deck internal</t>
  </si>
  <si>
    <t>QA · deck charts that do not equal the sum of their own site charts</t>
  </si>
  <si>
    <t>QA Reconciliation</t>
  </si>
  <si>
    <t>QA · source Excel → dataset reconciliation and cross-checks</t>
  </si>
  <si>
    <t>Requirements by country and type of business</t>
  </si>
  <si>
    <t>Country</t>
  </si>
  <si>
    <t>Office</t>
  </si>
  <si>
    <t>EPC</t>
  </si>
  <si>
    <t>Factory</t>
  </si>
  <si>
    <t>Warehouse</t>
  </si>
  <si>
    <t>Services</t>
  </si>
  <si>
    <t>Total</t>
  </si>
  <si>
    <t>Spain</t>
  </si>
  <si>
    <t>Portugal</t>
  </si>
  <si>
    <t>Mexico</t>
  </si>
  <si>
    <t>Colombia</t>
  </si>
  <si>
    <t>France</t>
  </si>
  <si>
    <t>Greece</t>
  </si>
  <si>
    <t>Italy</t>
  </si>
  <si>
    <t>Check: equals total records (1041)</t>
  </si>
  <si>
    <t>Most-referenced regulations</t>
  </si>
  <si>
    <t>Regulation references split from the 'Standard / Reference' column; count = number of requirements citing each.</t>
  </si>
  <si>
    <t>Regulation</t>
  </si>
  <si>
    <t>Requirements citing it</t>
  </si>
  <si>
    <t>NOM-030-STPS-2009</t>
  </si>
  <si>
    <t>RD 1215/1997 Anexo I</t>
  </si>
  <si>
    <t>Decreto 1072/2015</t>
  </si>
  <si>
    <t>NOM-006-STPS-2014</t>
  </si>
  <si>
    <t>NOM-002-STPS-2010</t>
  </si>
  <si>
    <t>NOM-001-STPS-2008</t>
  </si>
  <si>
    <t>NTP 298 INSST</t>
  </si>
  <si>
    <t>RD 486/1997 Anexo 1-A punto 6</t>
  </si>
  <si>
    <t>RD 486/1997 Anexo 1-A punto 5</t>
  </si>
  <si>
    <t>RFSST Art. 18</t>
  </si>
  <si>
    <t>RD 614/2001</t>
  </si>
  <si>
    <t>NTP 852 INSST</t>
  </si>
  <si>
    <t>RD 1215/1997 Art. 4</t>
  </si>
  <si>
    <t>NOM-001-STPS</t>
  </si>
  <si>
    <t>RD 2267/2004</t>
  </si>
  <si>
    <t>RD 681/2003 Art. 9</t>
  </si>
  <si>
    <t>RD 513/2017</t>
  </si>
  <si>
    <t>NOM-031-STPS-2011</t>
  </si>
  <si>
    <t>NOM 018 STPS</t>
  </si>
  <si>
    <t>Res. 0312/2019</t>
  </si>
  <si>
    <t>NOM-005-STPS-1998</t>
  </si>
  <si>
    <t>RD 487/1997</t>
  </si>
  <si>
    <t>NOM-001-SEDE</t>
  </si>
  <si>
    <t>RD 374/2001</t>
  </si>
  <si>
    <t>NOM 025 STPS</t>
  </si>
  <si>
    <t>RD 140/2003</t>
  </si>
  <si>
    <t>NTP 1076 INSST</t>
  </si>
  <si>
    <t>RD 1215/1997</t>
  </si>
  <si>
    <t>INRS - ED 840</t>
  </si>
  <si>
    <t>RD 487/1997 Art. 4</t>
  </si>
  <si>
    <t>RD 485/1997</t>
  </si>
  <si>
    <t>RD 171/2004</t>
  </si>
  <si>
    <t>NOM 001 STPS</t>
  </si>
  <si>
    <t>Res. 4272/2021</t>
  </si>
  <si>
    <t>RD 842/2002</t>
  </si>
  <si>
    <t>Ley 21/2013 de evaluación ambiental</t>
  </si>
  <si>
    <t>NOM-004-STPS-1999</t>
  </si>
  <si>
    <t>NOM-026-STPS-2008</t>
  </si>
  <si>
    <t>NOM-029-STPS-2011</t>
  </si>
  <si>
    <t>NOM 010 STPS</t>
  </si>
  <si>
    <t>RETIE 2024</t>
  </si>
  <si>
    <t>RD 1215/1997 Art. 5</t>
  </si>
  <si>
    <t>RD 2177/2004</t>
  </si>
  <si>
    <t>NOM-127-SSA-2021</t>
  </si>
  <si>
    <t>NOM-036-STPS-2018</t>
  </si>
  <si>
    <t>RD 919/2006</t>
  </si>
  <si>
    <t>RD 1027/2007</t>
  </si>
  <si>
    <t>RD 487/2022</t>
  </si>
  <si>
    <t>RD 865/2003</t>
  </si>
  <si>
    <t>RD 171/2004 Art. 7</t>
  </si>
  <si>
    <t>NMX-SAST-45001-IMNC-2018</t>
  </si>
  <si>
    <t>NOM-028-STPS-2012</t>
  </si>
  <si>
    <t>RFSST Art. 64</t>
  </si>
  <si>
    <t>RD 842/2002 REBT ITC-BT-05</t>
  </si>
  <si>
    <t>RD 1523/1999</t>
  </si>
  <si>
    <t>RD 2060/2008</t>
  </si>
  <si>
    <t>RD 393/2007</t>
  </si>
  <si>
    <t>RD 665/1997</t>
  </si>
  <si>
    <t>Lei 102/2009</t>
  </si>
  <si>
    <t>NOM 002 STPS</t>
  </si>
  <si>
    <t>NOM 005 STPS</t>
  </si>
  <si>
    <t>GTC 45</t>
  </si>
  <si>
    <t>Ley 31/1995 PRL Art. 20</t>
  </si>
  <si>
    <t>RD Legislativo 1/2016</t>
  </si>
  <si>
    <t>UNE-EN 806</t>
  </si>
  <si>
    <t>RD 487/1997 Art. 5</t>
  </si>
  <si>
    <t>RD 681/2003 Art. 6</t>
  </si>
  <si>
    <t>NTP 876</t>
  </si>
  <si>
    <t>RD 681/2003 Art. 7</t>
  </si>
  <si>
    <t>NTP 826</t>
  </si>
  <si>
    <t>RD 681/2003 Art. 8</t>
  </si>
  <si>
    <t>RD 1215/1997 Art. 5.2</t>
  </si>
  <si>
    <t>RD 486/1997 Anexo 1-A punto 10-11</t>
  </si>
  <si>
    <t>RD 486/1997 Anexo 1-A punto 11</t>
  </si>
  <si>
    <t>Ley 31/1995 Art. 32 bis</t>
  </si>
  <si>
    <t>RD 486/1997 Anexo III</t>
  </si>
  <si>
    <t>RD 363/1995</t>
  </si>
  <si>
    <t>RD 374/2001 Art. 3-4</t>
  </si>
  <si>
    <t>Directiva 2004/37/CE</t>
  </si>
  <si>
    <t>RD 1154/2020</t>
  </si>
  <si>
    <t>NTP 725 INSST</t>
  </si>
  <si>
    <t>RD 379/2001</t>
  </si>
  <si>
    <t>RD 553/2020</t>
  </si>
  <si>
    <t>Ley 7/2022 de residuos y suelos contaminados</t>
  </si>
  <si>
    <t>ISO 45001:2018 cláusula 9.2</t>
  </si>
  <si>
    <t>NOM-010-STPS-2014</t>
  </si>
  <si>
    <t>NOM-029-STPS</t>
  </si>
  <si>
    <t>NOM-017-STPS-2008</t>
  </si>
  <si>
    <t>NOM 019 STPS</t>
  </si>
  <si>
    <t>NOM 036 STPS</t>
  </si>
  <si>
    <t>NOM005 STPS</t>
  </si>
  <si>
    <t>Resolución 0312/2019</t>
  </si>
  <si>
    <t>Ley 31/2022 de la Cadena Alimentaria</t>
  </si>
  <si>
    <t>RD 1215/1997 Anexo II</t>
  </si>
  <si>
    <t>Art. 4</t>
  </si>
  <si>
    <t>RD 144/2016</t>
  </si>
  <si>
    <t>RD 681/2003 Art. 10</t>
  </si>
  <si>
    <t>RD 681/2003 Art. 11</t>
  </si>
  <si>
    <t>RD 171/2004 Art. 10</t>
  </si>
  <si>
    <t>RD 171/2004 Art. 4</t>
  </si>
  <si>
    <t>RD 171/2004 Art. 13</t>
  </si>
  <si>
    <t>Decreto-Lei 220/2008</t>
  </si>
  <si>
    <t>Lei 102/2009 Art. 75</t>
  </si>
  <si>
    <t>NOM-019-STPS-2011</t>
  </si>
  <si>
    <t>NOM-035-STPS-2018</t>
  </si>
  <si>
    <t>NOM-025-STPS-2008</t>
  </si>
  <si>
    <t>NOM-009-STPS-2011</t>
  </si>
  <si>
    <t>NOM 006 STPS</t>
  </si>
  <si>
    <t>RFSST Art. 7</t>
  </si>
  <si>
    <t>Art. 153-A LFT</t>
  </si>
  <si>
    <t>NOM-006-STPS</t>
  </si>
  <si>
    <t>NOM-022-STPS-2015</t>
  </si>
  <si>
    <t>NOM-020-STPS-2011</t>
  </si>
  <si>
    <t>NOM-018-STPS-2015</t>
  </si>
  <si>
    <t>NOM-052-SEMARNAT</t>
  </si>
  <si>
    <t>Ley del Seguro Social Art. 58</t>
  </si>
  <si>
    <t>NOM 004 STPS</t>
  </si>
  <si>
    <t>NOM-030-STPS</t>
  </si>
  <si>
    <t>GTC-45:2012</t>
  </si>
  <si>
    <t>Article L.4121-1</t>
  </si>
  <si>
    <t>Articles R.4512‑1 à R.4512‑16</t>
  </si>
  <si>
    <t>Articles R.4512‑15 et R.4512-16</t>
  </si>
  <si>
    <t>D.Lgs 81/2008</t>
  </si>
  <si>
    <t>RD 314/2006</t>
  </si>
  <si>
    <t>NTP 443 INSST</t>
  </si>
  <si>
    <t>Ley 31/1995 Art. 16</t>
  </si>
  <si>
    <t>RD 488/1997 Art. 3</t>
  </si>
  <si>
    <t>RD 773/1997</t>
  </si>
  <si>
    <t>Lei 102/2009 Art. 98</t>
  </si>
  <si>
    <t>Lei 102/2009 Art. 16-17</t>
  </si>
  <si>
    <t>NOM 030 STPS</t>
  </si>
  <si>
    <t>NOM 033 STPS</t>
  </si>
  <si>
    <t>NOM-036-STPS</t>
  </si>
  <si>
    <t>NOM -010-STPS</t>
  </si>
  <si>
    <t>NOM 006-STPS</t>
  </si>
  <si>
    <t>NOM-005-STPS</t>
  </si>
  <si>
    <t>DC3</t>
  </si>
  <si>
    <t>NOM 001 STPS​</t>
  </si>
  <si>
    <t>NOM 006 STPS​​</t>
  </si>
  <si>
    <t>Ley 2088/2021 Art. 6</t>
  </si>
  <si>
    <t>Resolución 2646/2008</t>
  </si>
  <si>
    <t>Decreto 1072/2015 Art. 2.2.4.6.28</t>
  </si>
  <si>
    <t>Res. 40595/2022</t>
  </si>
  <si>
    <t>Law 3850/2010, Fire Ordinance 13/2021 &amp; PD 41/2018 Art 12</t>
  </si>
  <si>
    <t>Law 3850/2010, Presidential Decree 398/1994 Art 3 &amp; 5</t>
  </si>
  <si>
    <t>D.M. 37/2008</t>
  </si>
  <si>
    <t>D.Lgs. 81/2008 art. 63-65</t>
  </si>
  <si>
    <t>Ley 38/1999</t>
  </si>
  <si>
    <t>Ley 31/1995 Art. 18-19</t>
  </si>
  <si>
    <t>Ley 31/1995 Art. 22</t>
  </si>
  <si>
    <t>RD 486/1997 Anexo IV</t>
  </si>
  <si>
    <t>RD 488/1997 Anexo</t>
  </si>
  <si>
    <t>RD 191/2011</t>
  </si>
  <si>
    <t>Decreto 88/2005 de la Generalitat Valenciana</t>
  </si>
  <si>
    <t>Ley 3/1998 de Protección del Medio Ambiente del País Vasco</t>
  </si>
  <si>
    <t>RD 337/2014</t>
  </si>
  <si>
    <t>RD 836/2003</t>
  </si>
  <si>
    <t>RD 486/1997</t>
  </si>
  <si>
    <t>RD 681/2003</t>
  </si>
  <si>
    <t>RD 286/2006</t>
  </si>
  <si>
    <t>Ley 31/1995 Art. 24</t>
  </si>
  <si>
    <t>Lei 102/2009 Art. 15</t>
  </si>
  <si>
    <t>Decreto-Lei 349/93</t>
  </si>
  <si>
    <t>Portaria 1532/2008</t>
  </si>
  <si>
    <t>Lei 98/2009</t>
  </si>
  <si>
    <t>DL 740/74</t>
  </si>
  <si>
    <t>DL 96/2017</t>
  </si>
  <si>
    <t>NOM-015-STPS-2001</t>
  </si>
  <si>
    <t>NOM-003-SECRE-2011</t>
  </si>
  <si>
    <t>NOM-001-ECOL-1996</t>
  </si>
  <si>
    <t>NOM-018-STPS-2015 (Sistema Globalmente Armonizado</t>
  </si>
  <si>
    <t>NOM-052-SEMARNAT-2005</t>
  </si>
  <si>
    <t>NOM-011-STPS-2001</t>
  </si>
  <si>
    <t>NOM-027-STPS-2008</t>
  </si>
  <si>
    <t>NOM 001 SEDE</t>
  </si>
  <si>
    <t>RFSST Art. 3, 7</t>
  </si>
  <si>
    <t>Ley del Seguro Social Art. 12, 58</t>
  </si>
  <si>
    <t>NOM-030-STPS-2010</t>
  </si>
  <si>
    <t>NOM-030-STPS-2011</t>
  </si>
  <si>
    <t>NOM-030-STPS-2012</t>
  </si>
  <si>
    <t>NOM-030-STPS-2013</t>
  </si>
  <si>
    <t>NOM-030-STPS-2014</t>
  </si>
  <si>
    <t>NOM-036 STPS</t>
  </si>
  <si>
    <t>NOM-024-STPS-2001</t>
  </si>
  <si>
    <t>Decreto 1072/2015 Art. 2.2.4.6.15</t>
  </si>
  <si>
    <t>Decreto 1072/2015 Art. 2.2.4.6.16</t>
  </si>
  <si>
    <t>Decreto 1072/2015 Art. 2.2.4.6.25</t>
  </si>
  <si>
    <t>NTC 5693-1</t>
  </si>
  <si>
    <t>article 222‑33</t>
  </si>
  <si>
    <t>Article R.4224-16</t>
  </si>
  <si>
    <t>Articles L. 4121-1 à L. 4121-3</t>
  </si>
  <si>
    <t>Article R.4412‑38</t>
  </si>
  <si>
    <t>Article R.4512‑2</t>
  </si>
  <si>
    <t>Article R.4512‑6</t>
  </si>
  <si>
    <t>Articles L.4121-1 et L.8222-1</t>
  </si>
  <si>
    <t>Pres.Decree 62/2025, art535</t>
  </si>
  <si>
    <t>D.Lgs. 222/2016</t>
  </si>
  <si>
    <t>DPR 160/2010</t>
  </si>
  <si>
    <t>D.Lgs. 81/2008 art. 80-87</t>
  </si>
  <si>
    <t>DM 3/9/2021</t>
  </si>
  <si>
    <t>Ley 2/2012 de Medidas Fiscales y Administrativas</t>
  </si>
  <si>
    <t>Ley 5/2010 de actividades clasificadas</t>
  </si>
  <si>
    <t>DPR 314/2006 modificado</t>
  </si>
  <si>
    <t>Norma UNE 60670</t>
  </si>
  <si>
    <t>IT 3 y IT 4</t>
  </si>
  <si>
    <t>Ley 31/1995 PRL Art. 14-16</t>
  </si>
  <si>
    <t>RD 513/2017 Art. 9</t>
  </si>
  <si>
    <t>RD 513/2017 Art. 10</t>
  </si>
  <si>
    <t>RD 513/2017 Art. 7</t>
  </si>
  <si>
    <t>RD 513/2017 Art. 11</t>
  </si>
  <si>
    <t>Art. 18</t>
  </si>
  <si>
    <t>RD 488/1997 Art. 4</t>
  </si>
  <si>
    <t>RD 488/1997 Art. 5</t>
  </si>
  <si>
    <t>Ley 16/2002 IPPC</t>
  </si>
  <si>
    <t>Ley 5/2010 CM</t>
  </si>
  <si>
    <t>Decreto 184/1998 CM</t>
  </si>
  <si>
    <t>Real Decreto 191/2011</t>
  </si>
  <si>
    <t>Decreto 356/2010 del Reglamento de actividades GICA</t>
  </si>
  <si>
    <t>Ley 7/2007 GICA</t>
  </si>
  <si>
    <t>Decreto 356/2010 del Reglamento GICA de Andalucía</t>
  </si>
  <si>
    <t>Decreto 266/2004 del Nomenclátor de Actividades Molestas</t>
  </si>
  <si>
    <t>Ley 6/2014 LPCCA de la Comunitat Valenciana</t>
  </si>
  <si>
    <t>Decreto 165/1999 de tramitación de actividades</t>
  </si>
  <si>
    <t>Decreto 136/2015 del Gobierno Vasco</t>
  </si>
  <si>
    <t>Decreto 258/1996 del Gobierno Vasco</t>
  </si>
  <si>
    <t>Decreto 240/2005 del Gobierno Vasco de eficiencia energética</t>
  </si>
  <si>
    <t>Decreto 70/2017 de ordenación de la actividad industrial</t>
  </si>
  <si>
    <t>Ley 11/2003 de Prevención Ambiental de Castilla y León</t>
  </si>
  <si>
    <t>Decreto 17/2011 del Plan de Residuos de CyL</t>
  </si>
  <si>
    <t>Decreto 154/2003 de la Junta de CyL</t>
  </si>
  <si>
    <t>Orden SAN/1751/2010 de la Consejería de Sanidad de CyL</t>
  </si>
  <si>
    <t>Decreto 165/1999</t>
  </si>
  <si>
    <t>Ley 3/1998 PV</t>
  </si>
  <si>
    <t>Ley 22/2011 de residuos</t>
  </si>
  <si>
    <t>Decreto 258/1996 GV</t>
  </si>
  <si>
    <t>RD 235/2013</t>
  </si>
  <si>
    <t>Decreto 173/2008 del Gobierno Vasco de control de Legionela</t>
  </si>
  <si>
    <t>RD 1644/2008</t>
  </si>
  <si>
    <t>RD 1215/1997 Art. 3-4</t>
  </si>
  <si>
    <t>Guía técnica INSST RD 1215/1997</t>
  </si>
  <si>
    <t>RD 809/2021</t>
  </si>
  <si>
    <t>RD 837/2003</t>
  </si>
  <si>
    <t>RD 1311/2005</t>
  </si>
  <si>
    <t>NTP 322 INSST</t>
  </si>
  <si>
    <t>RD-ley 4/2023</t>
  </si>
  <si>
    <t>UNE-EN 12464-1</t>
  </si>
  <si>
    <t>Ley 31/1995 Art. 20</t>
  </si>
  <si>
    <t>RD 39/1997</t>
  </si>
  <si>
    <t>Directiva 1999/92/CE</t>
  </si>
  <si>
    <t>Ley 31/1995 Art. 19</t>
  </si>
  <si>
    <t>RD 604/2006</t>
  </si>
  <si>
    <t>Ley 31/1995 Art. 23</t>
  </si>
  <si>
    <t>Orden TAS/2926/2002</t>
  </si>
  <si>
    <t>Lei 102/2009 Art. 15, 98-110</t>
  </si>
  <si>
    <t>Portaria 987/93</t>
  </si>
  <si>
    <t>Lei 102/2009 Art. 18-19</t>
  </si>
  <si>
    <t>Decreto-Lei 24/2012</t>
  </si>
  <si>
    <t>Decreto-Lei 348/93</t>
  </si>
  <si>
    <t>Lei 102/2009 Art. 73-78</t>
  </si>
  <si>
    <t>Lei 102/2009 Art. 86-99</t>
  </si>
  <si>
    <t>Lei 102/2009 Art. 107-117</t>
  </si>
  <si>
    <t>Lei 102/2009 Art. 21-30</t>
  </si>
  <si>
    <t>Lei 102/2009 Art. 20</t>
  </si>
  <si>
    <t>Portaria 1456-A/95</t>
  </si>
  <si>
    <t>Lei 102/2009 Art. 111</t>
  </si>
  <si>
    <t>Código do Trabalho Art. 29</t>
  </si>
  <si>
    <t>Lei 83/2021</t>
  </si>
  <si>
    <t>Código do Trabalho Art. 165-171</t>
  </si>
  <si>
    <t>Decreto-Lei 182/2006</t>
  </si>
  <si>
    <t>ISO 45001:2018 Cláusula 9.2</t>
  </si>
  <si>
    <t>Lei 58/2019 de 8 de agosto</t>
  </si>
  <si>
    <t>Lei 102/2009 Art. 18</t>
  </si>
  <si>
    <t>Portaria 55/2010</t>
  </si>
  <si>
    <t>Lei 102/2009 Art. 108</t>
  </si>
  <si>
    <t>Lei 83/2021 Art. 170.º-A</t>
  </si>
  <si>
    <t>Lei 98/2009 Art. 79</t>
  </si>
  <si>
    <t>Portaria 949-A/2006</t>
  </si>
  <si>
    <t>Portaria 372/2020</t>
  </si>
  <si>
    <t>DL 50/2005 art.32 nº1</t>
  </si>
  <si>
    <t>2009/161/UE)</t>
  </si>
  <si>
    <t>Portaria 732-A/96</t>
  </si>
  <si>
    <t>Lei 64/2017 de 7 de agosto</t>
  </si>
  <si>
    <t>DL 273/2003 de 29 de outubro</t>
  </si>
  <si>
    <t>RCM 150-A/2022</t>
  </si>
  <si>
    <t>DL 108/2018, de 5 de dezembro, Art. 146.º</t>
  </si>
  <si>
    <t>DL 52/2018</t>
  </si>
  <si>
    <t>Lei 52/2018, de 20 de agosto</t>
  </si>
  <si>
    <t>Portaria 353-A/2013</t>
  </si>
  <si>
    <t>NP 4386</t>
  </si>
  <si>
    <t>DL 243/86, de 20 de agosto</t>
  </si>
  <si>
    <t>Portaria 987/93, de 6 de outubro</t>
  </si>
  <si>
    <t>NOM-010 STPS</t>
  </si>
  <si>
    <t>NOM-031-STPS-2012</t>
  </si>
  <si>
    <t>NOM-031-STPS-2013</t>
  </si>
  <si>
    <t>NOM-031-STPS-2014</t>
  </si>
  <si>
    <t>NOM-010-SCFI-1994</t>
  </si>
  <si>
    <t>NOM-004-SEDG-2021</t>
  </si>
  <si>
    <t>Reforma de Subcontratación LFT 2021</t>
  </si>
  <si>
    <t>RFSST Art. 3</t>
  </si>
  <si>
    <t>NOM-035 STPS-2018</t>
  </si>
  <si>
    <t>ISO 45001:2018 cláusula 9.3</t>
  </si>
  <si>
    <t>NOM-037-STPS-2023</t>
  </si>
  <si>
    <t>Ley Federal del Trabajo Art. 311-330</t>
  </si>
  <si>
    <t>NOM-001 STPS</t>
  </si>
  <si>
    <t>NOM-031-STPS</t>
  </si>
  <si>
    <t>Ley IMSS SATIC 06 * REPSE</t>
  </si>
  <si>
    <t>NOM 028 STPS</t>
  </si>
  <si>
    <t>STPS 004 STPS</t>
  </si>
  <si>
    <t>NOM 029 STPS</t>
  </si>
  <si>
    <t>IEC 62446</t>
  </si>
  <si>
    <t>NOM 127 SSA-1</t>
  </si>
  <si>
    <t>NOM-081-SEMARNAT-1994</t>
  </si>
  <si>
    <t>Ley 2088/2021</t>
  </si>
  <si>
    <t>Ley 1221/2008</t>
  </si>
  <si>
    <t>Decreto 1072/2015 Art. 2.2.1.2.1</t>
  </si>
  <si>
    <t>Decreto 1072/2015 Art. 2.2.4.6.42</t>
  </si>
  <si>
    <t>Ley 2088/2021 Art. 7</t>
  </si>
  <si>
    <t>Ley 1221/2008 Art. 9</t>
  </si>
  <si>
    <t>Código Sustantivo del Trabajo Art. 58</t>
  </si>
  <si>
    <t>Ley 2088/2021 Art. 3</t>
  </si>
  <si>
    <t>Decreto 1072/2015 Art. 2.2.4.6.1 y ss</t>
  </si>
  <si>
    <t>Decreto 1072/2015 Art. 2.2.4.6.11</t>
  </si>
  <si>
    <t>Decreto 1072/2015 Art. 2.2.4.6.31</t>
  </si>
  <si>
    <t>Resolución 2851/2015</t>
  </si>
  <si>
    <t>Resolución 2400/1979 Art. 388</t>
  </si>
  <si>
    <t>Resolución 2400/1979</t>
  </si>
  <si>
    <t>Circular 0064/2020 del Ministerio del Trabajo</t>
  </si>
  <si>
    <t>Resolución 2400/1979 Art. 79-82</t>
  </si>
  <si>
    <t>Ley 2191/2022</t>
  </si>
  <si>
    <t>Resolución 2646/2008 Art. 14</t>
  </si>
  <si>
    <t>Ley 1010/2006</t>
  </si>
  <si>
    <t>Resolución 2400/1979 Art. 4</t>
  </si>
  <si>
    <t>Decreto 1072/2015 Art. 2.2.4.6.24</t>
  </si>
  <si>
    <t>Resolución 0256/2014</t>
  </si>
  <si>
    <t>Ley 1562/2012</t>
  </si>
  <si>
    <t>Decreto 1072/2015 Art. 2.2.4.6.5-6-7</t>
  </si>
  <si>
    <t>Ley 1562/2012 Art. 2 y 6</t>
  </si>
  <si>
    <t>Decreto 1072/2015 Art. 2.2.4.6.3</t>
  </si>
  <si>
    <t>Decreto 1295/1994</t>
  </si>
  <si>
    <t>Decreto 1072/2015 Art. 2.2.4.6.12</t>
  </si>
  <si>
    <t>Res. 1111/2017</t>
  </si>
  <si>
    <t>Decreto 1072/2015 Art. 2.2.4.6.32</t>
  </si>
  <si>
    <t>Res. 3461/2025</t>
  </si>
  <si>
    <t>Res. 4272/2021 Art. 12</t>
  </si>
  <si>
    <t>NTC 2234</t>
  </si>
  <si>
    <t>NTC 2062</t>
  </si>
  <si>
    <t>Res. 4272/2021 Art. 4</t>
  </si>
  <si>
    <t>Res. 4272/2021 Art. 5</t>
  </si>
  <si>
    <t>NTC 2885</t>
  </si>
  <si>
    <t>Res. 2400/1979 Art. 220-234</t>
  </si>
  <si>
    <t>Res. 2400/1979</t>
  </si>
  <si>
    <t>Decreto 1072/2015 Art. 2.2.4.6.28 numeral 3</t>
  </si>
  <si>
    <t>Article L.4121-2</t>
  </si>
  <si>
    <t>Article L.4121-3</t>
  </si>
  <si>
    <t>Articles L.1152-1 à L. 1152-6</t>
  </si>
  <si>
    <t>Article L.1153‑1 à L.1153‑6</t>
  </si>
  <si>
    <t>Articles L.2311-1 à L2311-2</t>
  </si>
  <si>
    <t>Article L. 2312-8</t>
  </si>
  <si>
    <t>Article L. 2314-1</t>
  </si>
  <si>
    <t>Article L. 2314-4</t>
  </si>
  <si>
    <t>Article L.1311‑2</t>
  </si>
  <si>
    <t>Article L.2315‑36</t>
  </si>
  <si>
    <t>Article L.4625-1</t>
  </si>
  <si>
    <t>Articles L.4622-1 à L4622-6-1</t>
  </si>
  <si>
    <t>Article L.4624-1</t>
  </si>
  <si>
    <t>Article R.4227-28</t>
  </si>
  <si>
    <t>Article R.4227-34</t>
  </si>
  <si>
    <t>Article R.4227-37</t>
  </si>
  <si>
    <t>Article R.4227-38</t>
  </si>
  <si>
    <t>Article R.4227-39</t>
  </si>
  <si>
    <t>Article R.4227-29 à R.4227-33</t>
  </si>
  <si>
    <t>Articles L.4121-1 à L.4121-3</t>
  </si>
  <si>
    <t>Articles L.4121‑1 et L.4121‑2</t>
  </si>
  <si>
    <t>Article R.4227‑28</t>
  </si>
  <si>
    <t>Article R.4224-15</t>
  </si>
  <si>
    <t>Articles R.4542‑1 à R4542-19</t>
  </si>
  <si>
    <t>Article R.4542‑16</t>
  </si>
  <si>
    <t>Article R.4542‑17</t>
  </si>
  <si>
    <t>Articles R.4321-1 à R4321-5</t>
  </si>
  <si>
    <t>Article R.4542-4</t>
  </si>
  <si>
    <t>Article L.1222‑9</t>
  </si>
  <si>
    <t>Article L1222‑11</t>
  </si>
  <si>
    <t>Articles R.4512‑6</t>
  </si>
  <si>
    <t>Article R.4411‑73</t>
  </si>
  <si>
    <t>Article L.8222-1 à L.8221-5</t>
  </si>
  <si>
    <t>Fire Ordinance 13/2021 art. 14, PD 41/2018</t>
  </si>
  <si>
    <t>Law 5239/2025 art39, Law 3850/2010 art 45 &amp; 48</t>
  </si>
  <si>
    <t>Pres.Decree 62/2025, art534 par2</t>
  </si>
  <si>
    <t>Law 3850/2010 art45, Ministerial Decision 32205/2013</t>
  </si>
  <si>
    <t>Law 3850/2010 Art.42–43 &amp; 8-9, Law 4808/2021</t>
  </si>
  <si>
    <t>Law 3850/2010 Art.42–43 &amp; 8-9</t>
  </si>
  <si>
    <t>Law 3850/2010 Art.42–43 &amp; 8-13</t>
  </si>
  <si>
    <t>Law 3850/2010 Art.14</t>
  </si>
  <si>
    <t>Law 3850/2010 Art.46-47</t>
  </si>
  <si>
    <t>Law 3850/2010 Art 42 &amp; 47</t>
  </si>
  <si>
    <t>Law 3850/2010, Presidential Decree 16/1996 Att I and II</t>
  </si>
  <si>
    <t>Law 3850/2010 Art. 42–44</t>
  </si>
  <si>
    <t>Law 3850/2010 Art. 48</t>
  </si>
  <si>
    <t>Law 4808/2021 Art 5-15</t>
  </si>
  <si>
    <t>Law 3850/2010 Art. 42</t>
  </si>
  <si>
    <t>Law 1837/1989</t>
  </si>
  <si>
    <t>Presidential Decree 176/1997</t>
  </si>
  <si>
    <t>Law 3850/2010 Art. 43</t>
  </si>
  <si>
    <t>Law 3850/2010</t>
  </si>
  <si>
    <t>Law 4808/2021</t>
  </si>
  <si>
    <t>DPR 380/2001 art. 24-25</t>
  </si>
  <si>
    <t>DPR 380/2001</t>
  </si>
  <si>
    <t>D.Lgs. 59/2010</t>
  </si>
  <si>
    <t>D.M. 37/2008 art. 5</t>
  </si>
  <si>
    <t>UNI EN 1775</t>
  </si>
  <si>
    <t>Norma UNI 7129</t>
  </si>
  <si>
    <t>Circolare Min. Salute 2015</t>
  </si>
  <si>
    <t>D.M. 37/2008 art. 5 lett. b</t>
  </si>
  <si>
    <t>D.Lgs. 192/2005</t>
  </si>
  <si>
    <t>D.P.R. 74/2013</t>
  </si>
  <si>
    <t>UNI EN 16798</t>
  </si>
  <si>
    <t>D.Lgs 81/2008 art.17</t>
  </si>
  <si>
    <t>D.Lgs. 81/2008 art. 29 c.3</t>
  </si>
  <si>
    <t>Accordo Europeo 8/10/2004</t>
  </si>
  <si>
    <t>D.Lgs 81/2008 Art. 28.1</t>
  </si>
  <si>
    <t>D.Lgs. 81/2008 art. 17, 28, 29</t>
  </si>
  <si>
    <t>D.Lgs 81/2008 art.173</t>
  </si>
  <si>
    <t>D.Lgs. 81/2008 art. 64</t>
  </si>
  <si>
    <t>D.Lgs 81/2008 Art. 174-176</t>
  </si>
  <si>
    <t>DPR 462/2001</t>
  </si>
  <si>
    <t>D.Lgs. 81/2008 art. 81</t>
  </si>
  <si>
    <t>D.Lgs. 81/2008 art. 161-166</t>
  </si>
  <si>
    <t>D.Lgs. 81/2008 art. 18 c.1 lett. t</t>
  </si>
  <si>
    <t>D.Lgs. 81/2008 art. 45</t>
  </si>
  <si>
    <t>D.M. 388/2003</t>
  </si>
  <si>
    <t>DM 388/2003</t>
  </si>
  <si>
    <t>D.Lgs. 81/2008 art. 46</t>
  </si>
  <si>
    <t>DM 1/9/2021</t>
  </si>
  <si>
    <t>D.Lgs 81/2008 Art. 17, 31-33</t>
  </si>
  <si>
    <t>D.Lgs 81/2008 Art. 18, 38-42</t>
  </si>
  <si>
    <t>D.Lgs 81/2008 Art. 47-50</t>
  </si>
  <si>
    <t>D.Lgs. 81/2008 art. 41</t>
  </si>
  <si>
    <t>D.Lgs. 81/2008 art. 35</t>
  </si>
  <si>
    <t>Accordo Stato-Regioni 21/12/2011</t>
  </si>
  <si>
    <t>D.Lgs 81/2008 Art. 36-37</t>
  </si>
  <si>
    <t>D.Lgs. 81/2008 art. 37 c.7</t>
  </si>
  <si>
    <t>Accordo Stato-Regioni 17/04/2025</t>
  </si>
  <si>
    <t>D.Lgs 81/2008 Art.26</t>
  </si>
  <si>
    <t>D.Lgs. 81/2008 art. 26 c.1-2</t>
  </si>
  <si>
    <t>D.Lgs 81/2008 Art. 26</t>
  </si>
  <si>
    <t>D.Lgs. 81/2008 art. 26 c.1</t>
  </si>
  <si>
    <t>D.M. 30/1/2015</t>
  </si>
  <si>
    <t>Legge 81/2017 Art. 18-23</t>
  </si>
  <si>
    <t>D.Lgs 196/2003 mod. da D.Lgs 101/2018</t>
  </si>
  <si>
    <t>Regolamento UE 2016/679</t>
  </si>
  <si>
    <t>D.Lgs. 101/2018</t>
  </si>
  <si>
    <t>D.Lgs. 81/2008 art. 30</t>
  </si>
  <si>
    <t>Circolare Min. Lavoro 23/2013</t>
  </si>
  <si>
    <t>D.Lgs. 81/2008 art. 18 c.1 lett. r</t>
  </si>
  <si>
    <t>D.Lgs. 81/2008 art. 74-79</t>
  </si>
  <si>
    <t>Circ. INAIL 2019</t>
  </si>
  <si>
    <t>DPR 1124/1965</t>
  </si>
  <si>
    <t>D.Lgs 81/2008 Art. 18.1</t>
  </si>
  <si>
    <t>Requirements per site</t>
  </si>
  <si>
    <t>Site ID</t>
  </si>
  <si>
    <t>Site</t>
  </si>
  <si>
    <t>Type of business</t>
  </si>
  <si>
    <t>Requirements</t>
  </si>
  <si>
    <t>ES-VIT</t>
  </si>
  <si>
    <t>Vitoria Factory</t>
  </si>
  <si>
    <t>ES-MEC</t>
  </si>
  <si>
    <t>Meco Warehouse</t>
  </si>
  <si>
    <t>ES-SEV</t>
  </si>
  <si>
    <t>Sevilla Warehouse</t>
  </si>
  <si>
    <t>ES-VAL</t>
  </si>
  <si>
    <t>Valencia Warehouse</t>
  </si>
  <si>
    <t>ES-BUR</t>
  </si>
  <si>
    <t>Burgos Warehouse</t>
  </si>
  <si>
    <t>ES-AND</t>
  </si>
  <si>
    <t>Andoain Warehouse</t>
  </si>
  <si>
    <t>ES-MAD</t>
  </si>
  <si>
    <t>Madrid Office</t>
  </si>
  <si>
    <t>ES-ACO</t>
  </si>
  <si>
    <t>A Coruña – Repsol in-house warehouse</t>
  </si>
  <si>
    <t>PT-AVE</t>
  </si>
  <si>
    <t>Aveiro Office</t>
  </si>
  <si>
    <t>MX-MTY</t>
  </si>
  <si>
    <t>Monterrey Warehouse (owned)</t>
  </si>
  <si>
    <t>MX-CDMX</t>
  </si>
  <si>
    <t>CDMX Office</t>
  </si>
  <si>
    <t>MX-INO</t>
  </si>
  <si>
    <t>EPC INOAC</t>
  </si>
  <si>
    <t>MX-IBE</t>
  </si>
  <si>
    <t>Iberdrola in-house warehouse</t>
  </si>
  <si>
    <t>MX-BRA</t>
  </si>
  <si>
    <t>Braskem in-house warehouse</t>
  </si>
  <si>
    <t>MX-ALT</t>
  </si>
  <si>
    <t>Altamira – Quantum warehouse &amp; services</t>
  </si>
  <si>
    <t>MX-SCH</t>
  </si>
  <si>
    <t>Schneider general services (Monterrey)</t>
  </si>
  <si>
    <t>MX-CHE</t>
  </si>
  <si>
    <t>Chetumal general services</t>
  </si>
  <si>
    <t>CO-EPC</t>
  </si>
  <si>
    <t>EPC Solar project</t>
  </si>
  <si>
    <t>CO-HOM</t>
  </si>
  <si>
    <t>Home-office (teleworking)</t>
  </si>
  <si>
    <t>FR-EPC</t>
  </si>
  <si>
    <t>EPC – subcontractor &amp; logistics</t>
  </si>
  <si>
    <t>FR-OFF</t>
  </si>
  <si>
    <t>Villeurbanne Office</t>
  </si>
  <si>
    <t>GR-ATH</t>
  </si>
  <si>
    <t>Athens Office</t>
  </si>
  <si>
    <t>IT-BUC</t>
  </si>
  <si>
    <t>Buccinasco Office (HQ)</t>
  </si>
  <si>
    <t>Page 1 headline numbers</t>
  </si>
  <si>
    <t>Measure</t>
  </si>
  <si>
    <t>Value</t>
  </si>
  <si>
    <t>Legal requirements</t>
  </si>
  <si>
    <t>Key activities (distinct, as written)</t>
  </si>
  <si>
    <t>Regulations referenced (distinct)</t>
  </si>
  <si>
    <t>Sites</t>
  </si>
  <si>
    <t>Countries</t>
  </si>
  <si>
    <t>Types of business</t>
  </si>
  <si>
    <t>Compliance status by criticality · per site</t>
  </si>
  <si>
    <t>Deck = figure as printed on the cluster-deck slide. Checklist = counted from the site checklist (site has no own chart in the deck).</t>
  </si>
  <si>
    <t>ES-VIT · Vitoria Factory (deck)</t>
  </si>
  <si>
    <t>Criticality</t>
  </si>
  <si>
    <t>Compliant</t>
  </si>
  <si>
    <t>Partially compliant</t>
  </si>
  <si>
    <t>Non-compliant</t>
  </si>
  <si>
    <t>High</t>
  </si>
  <si>
    <t>Medium</t>
  </si>
  <si>
    <t>Low</t>
  </si>
  <si>
    <t>ES-MEC · Meco Warehouse (deck)</t>
  </si>
  <si>
    <t>ES-SEV · Sevilla Warehouse (deck)</t>
  </si>
  <si>
    <t>ES-VAL · Valencia Warehouse (deck)</t>
  </si>
  <si>
    <t>ES-BUR · Burgos Warehouse (deck)</t>
  </si>
  <si>
    <t>ES-AND · Andoain Warehouse (deck)</t>
  </si>
  <si>
    <t>ES-MAD · Madrid Office (deck)</t>
  </si>
  <si>
    <t>ES-ACO · A Coruña – Repsol in-house warehouse (deck)</t>
  </si>
  <si>
    <t>PT-AVE · Aveiro Office (deck)</t>
  </si>
  <si>
    <t>MX-MTY · Monterrey Warehouse (owned) (deck)</t>
  </si>
  <si>
    <t>MX-CDMX · CDMX Office (deck)</t>
  </si>
  <si>
    <t>MX-INO · EPC INOAC (deck)</t>
  </si>
  <si>
    <t>MX-IBE · Iberdrola in-house warehouse (checklist)</t>
  </si>
  <si>
    <t>MX-BRA · Braskem in-house warehouse (checklist)</t>
  </si>
  <si>
    <t>MX-ALT · Altamira – Quantum warehouse &amp; services (checklist)</t>
  </si>
  <si>
    <t>MX-SCH · Schneider general services (Monterrey) (checklist)</t>
  </si>
  <si>
    <t>MX-CHE · Chetumal general services (checklist)</t>
  </si>
  <si>
    <t>CO-EPC · EPC Solar project (deck)</t>
  </si>
  <si>
    <t>CO-HOM · Home-office (teleworking) (deck)</t>
  </si>
  <si>
    <t>FR-EPC · EPC – subcontractor &amp; logistics (deck)</t>
  </si>
  <si>
    <t>FR-OFF · Villeurbanne Office (deck)</t>
  </si>
  <si>
    <t>GR-ATH · Athens Office (deck)</t>
  </si>
  <si>
    <t>IT-BUC · Buccinasco Office (HQ) (deck)</t>
  </si>
  <si>
    <t>Overall status of all checklist items per site</t>
  </si>
  <si>
    <t>Counts of normalised status from the checklists.</t>
  </si>
  <si>
    <t>Not applicable</t>
  </si>
  <si>
    <t>Not assessed</t>
  </si>
  <si>
    <t>High-criticality gaps</t>
  </si>
  <si>
    <t>Checklist records by criticality and status · per site</t>
  </si>
  <si>
    <t>Not rated</t>
  </si>
  <si>
    <t>Compliance by key activity · per site (checklist)</t>
  </si>
  <si>
    <t>Assessed items only (compliant / partial / non-compliant).</t>
  </si>
  <si>
    <t>Key activity (original)</t>
  </si>
  <si>
    <t>Key activity (English)</t>
  </si>
  <si>
    <t>Licencias de apertura y actividad</t>
  </si>
  <si>
    <t>Opening and activity licences</t>
  </si>
  <si>
    <t>Instalaciones técnicas (certificaciones y boletines)</t>
  </si>
  <si>
    <t>Technical installations (certifications and installation certificates (boletines))</t>
  </si>
  <si>
    <t>Maquinaria, equipos e instalaciones reglamentarias</t>
  </si>
  <si>
    <t>Machinery, equipment and regulated installations</t>
  </si>
  <si>
    <t>Trabajos en caliente y soldadura</t>
  </si>
  <si>
    <t>Hot work and welding</t>
  </si>
  <si>
    <t>Zonas ATEX</t>
  </si>
  <si>
    <t>ATEX zones</t>
  </si>
  <si>
    <t>Caída de cargas/objetos</t>
  </si>
  <si>
    <t>Falling loads/objects</t>
  </si>
  <si>
    <t>Manipulación de cargas</t>
  </si>
  <si>
    <t>Load handling</t>
  </si>
  <si>
    <t>Vehículos</t>
  </si>
  <si>
    <t>Vehicles</t>
  </si>
  <si>
    <t>Agentes químicos y residuos peligrosos</t>
  </si>
  <si>
    <t>Chemical agents and hazardous waste</t>
  </si>
  <si>
    <t>Riesgos físicos</t>
  </si>
  <si>
    <t>Physical risks</t>
  </si>
  <si>
    <t>Riesgo de incendio</t>
  </si>
  <si>
    <t>Fire risk</t>
  </si>
  <si>
    <t>Carga y descarga</t>
  </si>
  <si>
    <t>Loading and unloading</t>
  </si>
  <si>
    <t>Gestión de contratistas</t>
  </si>
  <si>
    <t>Contractor management</t>
  </si>
  <si>
    <t>Puerta de carga</t>
  </si>
  <si>
    <t>Loading gate</t>
  </si>
  <si>
    <t>Carga en altura</t>
  </si>
  <si>
    <t>Loads at height</t>
  </si>
  <si>
    <t>Atrapamiento</t>
  </si>
  <si>
    <t>Entrapment</t>
  </si>
  <si>
    <t>Trabajo en altura</t>
  </si>
  <si>
    <t>Work at height</t>
  </si>
  <si>
    <t>Carga y Descarga</t>
  </si>
  <si>
    <t>Loading and Unloading</t>
  </si>
  <si>
    <t>Instalaciones técnicas — certificaciones y boletines</t>
  </si>
  <si>
    <t>Technical installations — certifications and installation certificates (boletines)</t>
  </si>
  <si>
    <t>Riesgo psicosocial</t>
  </si>
  <si>
    <t>Psychosocial risk</t>
  </si>
  <si>
    <t>Plan de emergencia</t>
  </si>
  <si>
    <t>Emergency plan</t>
  </si>
  <si>
    <t>Gestión de pantallas/PVD</t>
  </si>
  <si>
    <t>Display screen equipment (PVD) management</t>
  </si>
  <si>
    <t>Coordinación de Actividades Empresariales (CAE)</t>
  </si>
  <si>
    <t>Coordination of business activities (CAE)</t>
  </si>
  <si>
    <t>Evaluación de riesgos y preparación previa al despliegue</t>
  </si>
  <si>
    <t>Risk assessment and pre-deployment preparation</t>
  </si>
  <si>
    <t>Información, formación y vigilancia de la salud</t>
  </si>
  <si>
    <t>Information, training and health surveillance</t>
  </si>
  <si>
    <t>Recurso preventivo y gestión de accidentes en centro ajeno</t>
  </si>
  <si>
    <t>Recurso preventivo (on-site prevention supervisor) and accident management at a third-party workplace</t>
  </si>
  <si>
    <t>Avaliação de riscos</t>
  </si>
  <si>
    <t>Risk assessment</t>
  </si>
  <si>
    <t>Ergonomia e condições de trabalho</t>
  </si>
  <si>
    <t>Ergonomics and working conditions</t>
  </si>
  <si>
    <t>Plano de emergência e segurança contra incêndio</t>
  </si>
  <si>
    <t>Emergency plan and fire safety</t>
  </si>
  <si>
    <t>Gestão de visitantes e prestadores externos</t>
  </si>
  <si>
    <t>Management of visitors and external service providers</t>
  </si>
  <si>
    <t>Organização e gestão do OHS</t>
  </si>
  <si>
    <t>OHS organisation and management</t>
  </si>
  <si>
    <t>Vigilância da saúde</t>
  </si>
  <si>
    <t>Health surveillance</t>
  </si>
  <si>
    <t>Riscos específicos das instalações</t>
  </si>
  <si>
    <t>Site-specific risks</t>
  </si>
  <si>
    <t>Risco psicossocial e teletrabalho</t>
  </si>
  <si>
    <t>Psychosocial risk and teleworking</t>
  </si>
  <si>
    <t>Planes y programas en SST
Sistema de gestión SST</t>
  </si>
  <si>
    <t>OHS plans and programmes
OHS management system</t>
  </si>
  <si>
    <t>Condiciones del lugar de trabajo</t>
  </si>
  <si>
    <t>Workplace conditions</t>
  </si>
  <si>
    <t>Maquinaria, equipos y LOTO</t>
  </si>
  <si>
    <t>Machinery, equipment and LOTO</t>
  </si>
  <si>
    <t>Vehículos industriales</t>
  </si>
  <si>
    <t>Industrial vehicles</t>
  </si>
  <si>
    <t>Carga en altura y estanterías</t>
  </si>
  <si>
    <t>High-level loading and racking</t>
  </si>
  <si>
    <t>andenes de carga</t>
  </si>
  <si>
    <t>Loading docks</t>
  </si>
  <si>
    <t>Instalaciones eléctricas — certificaciones y dictamen</t>
  </si>
  <si>
    <t>Electrical installations — certifications and verification report</t>
  </si>
  <si>
    <t>Seguridad eléctrica y baterías</t>
  </si>
  <si>
    <t>Electrical and battery safety</t>
  </si>
  <si>
    <t>Instalaciones técnicas — certificaciones e inspecciones periódicas</t>
  </si>
  <si>
    <t>Technical installations — certifications and periodic inspections</t>
  </si>
  <si>
    <t>Normativa de productos químicos (SGA/GHS)</t>
  </si>
  <si>
    <t>Chemical products regulations (SGA/GHS)</t>
  </si>
  <si>
    <t>Riesgo de ruido</t>
  </si>
  <si>
    <t>Noise risk</t>
  </si>
  <si>
    <t>Prevención y protección contra incendios</t>
  </si>
  <si>
    <t>Fire prevention and protection</t>
  </si>
  <si>
    <t>Plan de emergencia y protección civil</t>
  </si>
  <si>
    <t>Emergency and civil protection plan</t>
  </si>
  <si>
    <t>Instalaciones eléctricas — certificaciones y boletines</t>
  </si>
  <si>
    <t>Electrical installations — certifications and certificates</t>
  </si>
  <si>
    <t>Sistema de gestión SST y organización</t>
  </si>
  <si>
    <t>SST (OHS) management system and organisation</t>
  </si>
  <si>
    <t>Notificación de accidentes e IMSS</t>
  </si>
  <si>
    <t>Accident notification and IMSS</t>
  </si>
  <si>
    <t>Contratistas y visitantes</t>
  </si>
  <si>
    <t>Contractors and visitors</t>
  </si>
  <si>
    <t>Factores de riesgo psicosocial (NOM-035)</t>
  </si>
  <si>
    <t>Psychosocial risk factors (NOM-035)</t>
  </si>
  <si>
    <t>Ergonomía, PVD y teletrabajo (NOM-036/037)</t>
  </si>
  <si>
    <t>Ergonomics, display screen equipment and teleworking (NOM-036/037)</t>
  </si>
  <si>
    <t>Condiciones físicas del lugar de trabajo</t>
  </si>
  <si>
    <t>Physical conditions of the workplace</t>
  </si>
  <si>
    <t>Seguridad eléctrica</t>
  </si>
  <si>
    <t>Electrical safety</t>
  </si>
  <si>
    <t>Planificación y organización del sistema SST</t>
  </si>
  <si>
    <t>Planning and organisation of the SST (OHS) system</t>
  </si>
  <si>
    <t>Gestión de subcontratistas y acceso al sitio</t>
  </si>
  <si>
    <t>Subcontractor management and site access</t>
  </si>
  <si>
    <t>Capacitación, IMSS y notificación de accidentes</t>
  </si>
  <si>
    <t>Training, IMSS and accident notification</t>
  </si>
  <si>
    <t>Sistema de permisos de trabajo</t>
  </si>
  <si>
    <t>Work permit system</t>
  </si>
  <si>
    <t>Trabajos en altura</t>
  </si>
  <si>
    <t>Trabajos de riesgo especial en obra</t>
  </si>
  <si>
    <t>Special-risk work on site</t>
  </si>
  <si>
    <t>Seguridad eléctrica y sistemas fotovoltaicos</t>
  </si>
  <si>
    <t>Electrical safety and photovoltaic systems</t>
  </si>
  <si>
    <t>Plan de emergencias, EPP y bienestar en obra</t>
  </si>
  <si>
    <t>Emergency plan, PPE and welfare on site</t>
  </si>
  <si>
    <t>Gestión ambiental del proyecto</t>
  </si>
  <si>
    <t>Project environmental management</t>
  </si>
  <si>
    <t>Coordinación con el cliente (obligaciones SST)</t>
  </si>
  <si>
    <t>Coordination with the client (OHS obligations)</t>
  </si>
  <si>
    <t>Notificación de accidentes y recurso preventivo en centro ajeno</t>
  </si>
  <si>
    <t>Accident notification and recurso preventivo (on-site prevention supervisor) at a third-party site</t>
  </si>
  <si>
    <t>Organización y gestión del sistema SST</t>
  </si>
  <si>
    <t>Organisation and management of the OHS system</t>
  </si>
  <si>
    <t>Coordinación con el cliente (.)</t>
  </si>
  <si>
    <t>Coordination with the client (.)</t>
  </si>
  <si>
    <t>Operaciones logísticas en instalaciones del cliente</t>
  </si>
  <si>
    <t>Logistics operations at client premises</t>
  </si>
  <si>
    <t>Emergencias, EPP y bienestar en instalaciones del cliente</t>
  </si>
  <si>
    <t>Emergencies, PPE and welfare at client premises</t>
  </si>
  <si>
    <t>SG-SST Marco general</t>
  </si>
  <si>
    <t>SG-SST general framework</t>
  </si>
  <si>
    <t>Carga en altura / Izaje</t>
  </si>
  <si>
    <t>Loads at height / Lifting</t>
  </si>
  <si>
    <t>Manipulacion de cargas</t>
  </si>
  <si>
    <t>Atrapamiento / Maquinaria</t>
  </si>
  <si>
    <t>Entrapment / Machinery</t>
  </si>
  <si>
    <t>Caida de cargas y objetos</t>
  </si>
  <si>
    <t>Falling loads and objects</t>
  </si>
  <si>
    <t>Riesgo electrico</t>
  </si>
  <si>
    <t>Electrical risk</t>
  </si>
  <si>
    <t>Gestion de contratistas</t>
  </si>
  <si>
    <t>Carga y descarga / Vehiculos</t>
  </si>
  <si>
    <t>Loading and unloading / Vehicles</t>
  </si>
  <si>
    <t>Riesgo público</t>
  </si>
  <si>
    <t>Public risk</t>
  </si>
  <si>
    <t>Teletrabajo y trabajo en casa — marco legal y contractual</t>
  </si>
  <si>
    <t>Teleworking and working from home — legal and contractual framework</t>
  </si>
  <si>
    <t>Organización del SG-SST para trabajadores remotos</t>
  </si>
  <si>
    <t>Organisation of the SG-SST (OHS management system) for remote workers</t>
  </si>
  <si>
    <t>Riesgos ergonómicos y pantallas (PVD) en domicilio</t>
  </si>
  <si>
    <t>Ergonomic and display screen equipment (PVD) risks at home</t>
  </si>
  <si>
    <t>Riesgos psicosociales en trabajo remoto</t>
  </si>
  <si>
    <t>Psychosocial risks in remote work</t>
  </si>
  <si>
    <t>Seguridad eléctrica y condiciones físicas del domicilio</t>
  </si>
  <si>
    <t>Electrical safety and physical conditions of the home</t>
  </si>
  <si>
    <t>Gestión de emergencias y primeros auxilios en domicilio</t>
  </si>
  <si>
    <t>Emergency management and first aid at home</t>
  </si>
  <si>
    <t>Stockage</t>
  </si>
  <si>
    <t>Storage</t>
  </si>
  <si>
    <t>Gestion Sous-Traitants</t>
  </si>
  <si>
    <t>Subcontractor Management</t>
  </si>
  <si>
    <t>Manutention de charges lourdes avec équipements (grue, palan, etc.)</t>
  </si>
  <si>
    <t>Handling of heavy loads with equipment (crane, hoist, etc.)</t>
  </si>
  <si>
    <t>Manutention manuelle de charges</t>
  </si>
  <si>
    <t>Manual handling of loads</t>
  </si>
  <si>
    <t>Equipement de protection individuel et collectif</t>
  </si>
  <si>
    <t>Personal and collective protective equipment</t>
  </si>
  <si>
    <t>Travail en hauteur</t>
  </si>
  <si>
    <t>Sécurité Routière</t>
  </si>
  <si>
    <t>Road Safety</t>
  </si>
  <si>
    <t>Travail par point chaud</t>
  </si>
  <si>
    <t>Hot work</t>
  </si>
  <si>
    <t>Chute d'objets</t>
  </si>
  <si>
    <t>Falling objects</t>
  </si>
  <si>
    <t>Risque électrique</t>
  </si>
  <si>
    <t>Travail manuel (outils à main et électro-portatif)</t>
  </si>
  <si>
    <t>Manual work (hand tools and portable power tools)</t>
  </si>
  <si>
    <t>Chute de plain pied</t>
  </si>
  <si>
    <t>Slips, trips and falls on the same level</t>
  </si>
  <si>
    <t>Consignation Electrique</t>
  </si>
  <si>
    <t>Electrical Lockout/Tagout</t>
  </si>
  <si>
    <t>Co-activité sur chantier</t>
  </si>
  <si>
    <t>Co-activity on the worksite</t>
  </si>
  <si>
    <t>Risque Psychosociaux (RPS)</t>
  </si>
  <si>
    <t>Psychosocial Risks (RPS)</t>
  </si>
  <si>
    <t>Risque d'incendie</t>
  </si>
  <si>
    <t>Plan d'urgence</t>
  </si>
  <si>
    <t>Gestion des écrans</t>
  </si>
  <si>
    <t>Screen management</t>
  </si>
  <si>
    <t>Electrical Installation &amp; Specific Risks</t>
  </si>
  <si>
    <t>Emergency Management, Fire Safety &amp; First Aid</t>
  </si>
  <si>
    <t>Ergonomics &amp; Working Conditions</t>
  </si>
  <si>
    <t>Risk Assessment &amp; OSH Organisation</t>
  </si>
  <si>
    <t>Visitors &amp; External Contractors</t>
  </si>
  <si>
    <t>Housekeeping, Welfare &amp; Facilities</t>
  </si>
  <si>
    <t>Occupational Physician &amp; Health Surveillance</t>
  </si>
  <si>
    <t>Psychosocial Risks &amp; Telework</t>
  </si>
  <si>
    <t>Agibilità e licenza d'uso</t>
  </si>
  <si>
    <t>Building fitness for use and occupancy permit</t>
  </si>
  <si>
    <t>Impianti tecnici — certificazioni e conformità</t>
  </si>
  <si>
    <t>Technical installations — certifications and compliance</t>
  </si>
  <si>
    <t>Valutazione dei rischi</t>
  </si>
  <si>
    <t>Ergonomia e videoterminali (VDT)</t>
  </si>
  <si>
    <t>Ergonomics and display screen equipment (VDT)</t>
  </si>
  <si>
    <t>Sicurezza elettrica</t>
  </si>
  <si>
    <t>Segnaletica di sicurezza</t>
  </si>
  <si>
    <t>Safety signage</t>
  </si>
  <si>
    <t>Gestione delle emergenze e prevenzione incendi</t>
  </si>
  <si>
    <t>Emergency management and fire prevention</t>
  </si>
  <si>
    <t>Organizzazione SSL</t>
  </si>
  <si>
    <t>OHS organisation</t>
  </si>
  <si>
    <t>Formazione e informazione</t>
  </si>
  <si>
    <t>Training and information</t>
  </si>
  <si>
    <t>Luoghi di lavoro, smart working e tutela dei dati</t>
  </si>
  <si>
    <t>Workplaces, smart working and data protection</t>
  </si>
  <si>
    <t>Monitoraggio, DPI e obblighi di registrazione</t>
  </si>
  <si>
    <t>Monitoring, PPE and recording obligations</t>
  </si>
  <si>
    <t>Site-visit report · compliance dots per site</t>
  </si>
  <si>
    <t>Key activities</t>
  </si>
  <si>
    <t>Compliance status per criticality of business · per cluster (deck)</t>
  </si>
  <si>
    <t>Global deck pp.14–19.</t>
  </si>
  <si>
    <t>Spain &amp; Portugal · Office</t>
  </si>
  <si>
    <t>Spain &amp; Portugal · Factory</t>
  </si>
  <si>
    <t>Spain &amp; Portugal · Warehouse</t>
  </si>
  <si>
    <t>Spain &amp; Portugal · Services</t>
  </si>
  <si>
    <t>Mexico &amp; Colombia · Office</t>
  </si>
  <si>
    <t>Mexico &amp; Colombia · EPC</t>
  </si>
  <si>
    <t>Mexico &amp; Colombia · Warehouse</t>
  </si>
  <si>
    <t>Mexico &amp; Colombia · Services</t>
  </si>
  <si>
    <t>France · Office</t>
  </si>
  <si>
    <t>France · EPC</t>
  </si>
  <si>
    <t>Greece &amp; Italy · Office</t>
  </si>
  <si>
    <t>Cluster KPI tiles (deck figures)</t>
  </si>
  <si>
    <t>Cluster</t>
  </si>
  <si>
    <t>Requirements assessed</t>
  </si>
  <si>
    <t>% compliant</t>
  </si>
  <si>
    <t>High · compliant</t>
  </si>
  <si>
    <t>High · partial</t>
  </si>
  <si>
    <t>High · non-compliant</t>
  </si>
  <si>
    <t>Spain &amp; Portugal</t>
  </si>
  <si>
    <t>Mexico &amp; Colombia</t>
  </si>
  <si>
    <t>Greece &amp; Italy</t>
  </si>
  <si>
    <t>Compliance mix by type of business (all criticality levels, deck figures)</t>
  </si>
  <si>
    <t>% partial</t>
  </si>
  <si>
    <t>% non-compliant</t>
  </si>
  <si>
    <t>Share compliant by site and criticality (as charted)</t>
  </si>
  <si>
    <t>Deck site figures; Mexico in-house services = deck aggregate of Iberdrola, Schneider and Braskem.</t>
  </si>
  <si>
    <t>High · total</t>
  </si>
  <si>
    <t>Medium · compliant</t>
  </si>
  <si>
    <t>Medium · total</t>
  </si>
  <si>
    <t>Low · compliant</t>
  </si>
  <si>
    <t>Low · total</t>
  </si>
  <si>
    <t>High · % compliant</t>
  </si>
  <si>
    <t>Medium · % compliant</t>
  </si>
  <si>
    <t>Low · % compliant</t>
  </si>
  <si>
    <t>Mexico in-house services</t>
  </si>
  <si>
    <t>Compliance status by HIGH criticality per type of business in the different clusters</t>
  </si>
  <si>
    <t>Global deck pp.12–13.</t>
  </si>
  <si>
    <t>Chart label</t>
  </si>
  <si>
    <t>FR</t>
  </si>
  <si>
    <t>GR + IT</t>
  </si>
  <si>
    <t>MX + CO</t>
  </si>
  <si>
    <t>ES + PT</t>
  </si>
  <si>
    <t>ES</t>
  </si>
  <si>
    <t>MX</t>
  </si>
  <si>
    <t>High criticality by type of business · one chart per cluster (deck)</t>
  </si>
  <si>
    <t>High-criticality compliance mix · per cluster and per type of business</t>
  </si>
  <si>
    <t>All criticality levels · clusters side by side (deck)</t>
  </si>
  <si>
    <t>Sum over types of business of the cluster charts (global deck pp.14–19).</t>
  </si>
  <si>
    <t>Page 4 headline numbers (high criticality)</t>
  </si>
  <si>
    <t>Must match the executive summary: 184 compliant, 161 critical gaps (89 non-compliant + 72 partially compliant).</t>
  </si>
  <si>
    <t>High-criticality items</t>
  </si>
  <si>
    <t>Critical gaps (partial + non-compliant)</t>
  </si>
  <si>
    <t>Deck chart figures vs counts from the checklists</t>
  </si>
  <si>
    <t>The dashboard shows deck figures (as presented to the client). FALSE = the deck and the checklist differ.</t>
  </si>
  <si>
    <t>Deck · C</t>
  </si>
  <si>
    <t>Deck · P</t>
  </si>
  <si>
    <t>Deck · NC</t>
  </si>
  <si>
    <t>Checklist · C</t>
  </si>
  <si>
    <t>Checklist · P</t>
  </si>
  <si>
    <t>Checklist · NC</t>
  </si>
  <si>
    <t>Match</t>
  </si>
  <si>
    <t>MX-IBE+MX-SCH+MX-BRA</t>
  </si>
  <si>
    <t>Deck charts that differ from the sum of their own site charts</t>
  </si>
  <si>
    <t>Values as printed in the decks.</t>
  </si>
  <si>
    <t>Chart</t>
  </si>
  <si>
    <t>Site slides</t>
  </si>
  <si>
    <t>Deck shows [C, P, NC]</t>
  </si>
  <si>
    <t>Sum of site slides [C, P, NC]</t>
  </si>
  <si>
    <t>Global pp.12–15 · Spain &amp; Portugal · Office · High</t>
  </si>
  <si>
    <t>ES-MAD + PT-AVE</t>
  </si>
  <si>
    <t>[12, 3, 2]</t>
  </si>
  <si>
    <t>[12, 4, 1]</t>
  </si>
  <si>
    <t>Global pp.12–15 · Spain &amp; Portugal · Services · High</t>
  </si>
  <si>
    <t>[10, 0, 0]</t>
  </si>
  <si>
    <t>[8, 0, 0]</t>
  </si>
  <si>
    <t>Global pp.14–15 · Spain &amp; Portugal · Services · Medium</t>
  </si>
  <si>
    <t>[0, 1, 0]</t>
  </si>
  <si>
    <t>[2, 1, 0]</t>
  </si>
  <si>
    <t>Global pp.16–17 · Mexico &amp; Colombia · EPC · Medium</t>
  </si>
  <si>
    <t>MX-INO + CO-EPC</t>
  </si>
  <si>
    <t>[11, 5, 15]</t>
  </si>
  <si>
    <t>[10, 6, 15]</t>
  </si>
  <si>
    <t>Global p.19 · Greece &amp; Italy · Office · Medium</t>
  </si>
  <si>
    <t>GR-ATH + IT-BUC</t>
  </si>
  <si>
    <t>[18, 3, 3]</t>
  </si>
  <si>
    <t>[18, 3, 4]</t>
  </si>
  <si>
    <t>Global p.19 · Greece &amp; Italy · Office · Low</t>
  </si>
  <si>
    <t>[4, 5, 2]</t>
  </si>
  <si>
    <t>[4, 4, 2]</t>
  </si>
  <si>
    <t>Source Excel → dashboard dataset reconciliation</t>
  </si>
  <si>
    <t>Source file</t>
  </si>
  <si>
    <t>Rows in source</t>
  </si>
  <si>
    <t>Rows in dashboard</t>
  </si>
  <si>
    <t>2026_06_Checklist_Oficina_Madrid.xlsx</t>
  </si>
  <si>
    <t>2026_06_Checklist_Meco_Warehouse.xlsx</t>
  </si>
  <si>
    <t>2026_06_Checklist_Sevilla_Warehouse.xlsx</t>
  </si>
  <si>
    <t>2026_06_Checklist_Valencia_Warehouse.xlsx</t>
  </si>
  <si>
    <t>2026_06_Checklist_Andoain_Warehouse.xlsx</t>
  </si>
  <si>
    <t>2026_06_Checklist_Burgos_Warehouse.xlsx</t>
  </si>
  <si>
    <t>2026-06_Checklist_ES_Planta_Industrial_Vitoria.xlsx</t>
  </si>
  <si>
    <t>2026-06_Checklist_ACoruna_Amara_NZero_Repsol_Requisitos_legales.xlsx</t>
  </si>
  <si>
    <t>2026_06_Amara_NZero_Office_Aveiro_Checklist.xlsx</t>
  </si>
  <si>
    <t>2026_06_Checklist_MX_Almacen_Monterrey.xlsx</t>
  </si>
  <si>
    <t>2026_06_Checklist_Oficina_CDMX_Mexico.xlsx</t>
  </si>
  <si>
    <t>2026_06_Site_Visit_Report_EPC_INOAC.xlsx</t>
  </si>
  <si>
    <t>2026_06_Checklist_Almacen_Cliente_Mexico_Iberdrola.xlsx</t>
  </si>
  <si>
    <t>2026_06_Checklist_Almacen_Cliente Braskem_Mexico.xlsx</t>
  </si>
  <si>
    <t>2026_06_Site_Visit_Report_Schneider_Servicios_generales_Monterrey.xlsx</t>
  </si>
  <si>
    <t>2026_06_Site_Visit_Report_Chetumal_Servicios_generales.xlsx</t>
  </si>
  <si>
    <t>2026_06_Checklist_Almacen y servicios_Cliente_Mexico_Altamira_Quantum.xlsx</t>
  </si>
  <si>
    <t>2026_06_Checklist_Colombia_Teletrabajo.xlsx</t>
  </si>
  <si>
    <t>2026_06_Colombia_EPC_Solar_Checklist_AmaraNZero.xlsx</t>
  </si>
  <si>
    <t>2026_06_Checklist_Amara_NZero_France_Office_FR.xlsx</t>
  </si>
  <si>
    <t>2026_06_Checklist_Amara_NZero_France_EPC.xlsx</t>
  </si>
  <si>
    <t>2026_06_Amara_NZero_Checklist_Greece.xlsx</t>
  </si>
  <si>
    <t>2026_06_Checklist_IT_Office_Buccinasco.xlsx</t>
  </si>
  <si>
    <t>Cell-by-cell comparison of every field: 0 mismatches (status values read from cell colour are listed on the records workbook 'Status mapping' sheet).</t>
  </si>
  <si>
    <t>Source: 23 site checklists (1,041 requirements).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</si>
</sst>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1F3B"/>
      <name val="Calibri"/>
    </font>
    <font>
      <i/>
      <sz val="9"/>
      <color rgb="FF4A4F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B1F3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F3B"/>
      </patternFill>
    </fill>
  </fills>
  <borders count="2">
    <border>
      <left/>
      <right/>
      <top/>
      <bottom/>
      <diagonal/>
    </border>
    <border>
      <left style="thin">
        <color rgb="FFD5D8E0"/>
      </left>
      <right style="thin">
        <color rgb="FFD5D8E0"/>
      </right>
      <top style="thin">
        <color rgb="FFD5D8E0"/>
      </top>
      <bottom style="thin">
        <color rgb="FFD5D8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2" borderId="0" xfId="0" applyFont="1" applyFill="1"/>
    <xf numFmtId="9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Requirements by country and type of business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'P1 Country x type'!$B$4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2F6DB5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Country x type'!$A$5:$A$11</c:f>
              <c:strCache>
                <c:ptCount val="7"/>
                <c:pt idx="0">
                  <c:v>Spain</c:v>
                </c:pt>
                <c:pt idx="1">
                  <c:v>Portugal</c:v>
                </c:pt>
                <c:pt idx="2">
                  <c:v>Mexico</c:v>
                </c:pt>
                <c:pt idx="3">
                  <c:v>Colombia</c:v>
                </c:pt>
                <c:pt idx="4">
                  <c:v>France</c:v>
                </c:pt>
                <c:pt idx="5">
                  <c:v>Greece</c:v>
                </c:pt>
                <c:pt idx="6">
                  <c:v>Italy</c:v>
                </c:pt>
              </c:strCache>
            </c:strRef>
          </c:cat>
          <c:val>
            <c:numRef>
              <c:f>'P1 Country x type'!$B$5:$B$11</c:f>
              <c:numCache>
                <c:formatCode>General</c:formatCode>
                <c:ptCount val="7"/>
                <c:pt idx="0">
                  <c:v>31</c:v>
                </c:pt>
                <c:pt idx="1">
                  <c:v>45</c:v>
                </c:pt>
                <c:pt idx="2">
                  <c:v>47</c:v>
                </c:pt>
                <c:pt idx="3">
                  <c:v>21</c:v>
                </c:pt>
                <c:pt idx="4">
                  <c:v>30</c:v>
                </c:pt>
                <c:pt idx="5">
                  <c:v>28</c:v>
                </c:pt>
                <c:pt idx="6">
                  <c:v>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1C-4580-9AFB-2B7BCB142344}"/>
            </c:ext>
          </c:extLst>
        </c:ser>
        <c:ser>
          <c:idx val="1"/>
          <c:order val="1"/>
          <c:tx>
            <c:strRef>
              <c:f>'P1 Country x type'!$C$4</c:f>
              <c:strCache>
                <c:ptCount val="1"/>
                <c:pt idx="0">
                  <c:v>EPC</c:v>
                </c:pt>
              </c:strCache>
            </c:strRef>
          </c:tx>
          <c:spPr>
            <a:solidFill>
              <a:srgbClr val="8A8FA3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Country x type'!$A$5:$A$11</c:f>
              <c:strCache>
                <c:ptCount val="7"/>
                <c:pt idx="0">
                  <c:v>Spain</c:v>
                </c:pt>
                <c:pt idx="1">
                  <c:v>Portugal</c:v>
                </c:pt>
                <c:pt idx="2">
                  <c:v>Mexico</c:v>
                </c:pt>
                <c:pt idx="3">
                  <c:v>Colombia</c:v>
                </c:pt>
                <c:pt idx="4">
                  <c:v>France</c:v>
                </c:pt>
                <c:pt idx="5">
                  <c:v>Greece</c:v>
                </c:pt>
                <c:pt idx="6">
                  <c:v>Italy</c:v>
                </c:pt>
              </c:strCache>
            </c:strRef>
          </c:cat>
          <c:val>
            <c:numRef>
              <c:f>'P1 Country x type'!$C$5:$C$11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38</c:v>
                </c:pt>
                <c:pt idx="3">
                  <c:v>49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1C-4580-9AFB-2B7BCB142344}"/>
            </c:ext>
          </c:extLst>
        </c:ser>
        <c:ser>
          <c:idx val="2"/>
          <c:order val="2"/>
          <c:tx>
            <c:strRef>
              <c:f>'P1 Country x type'!$D$4</c:f>
              <c:strCache>
                <c:ptCount val="1"/>
                <c:pt idx="0">
                  <c:v>Factory</c:v>
                </c:pt>
              </c:strCache>
            </c:strRef>
          </c:tx>
          <c:spPr>
            <a:solidFill>
              <a:srgbClr val="1B1F3B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Country x type'!$A$5:$A$11</c:f>
              <c:strCache>
                <c:ptCount val="7"/>
                <c:pt idx="0">
                  <c:v>Spain</c:v>
                </c:pt>
                <c:pt idx="1">
                  <c:v>Portugal</c:v>
                </c:pt>
                <c:pt idx="2">
                  <c:v>Mexico</c:v>
                </c:pt>
                <c:pt idx="3">
                  <c:v>Colombia</c:v>
                </c:pt>
                <c:pt idx="4">
                  <c:v>France</c:v>
                </c:pt>
                <c:pt idx="5">
                  <c:v>Greece</c:v>
                </c:pt>
                <c:pt idx="6">
                  <c:v>Italy</c:v>
                </c:pt>
              </c:strCache>
            </c:strRef>
          </c:cat>
          <c:val>
            <c:numRef>
              <c:f>'P1 Country x type'!$D$5:$D$11</c:f>
              <c:numCache>
                <c:formatCode>General</c:formatCode>
                <c:ptCount val="7"/>
                <c:pt idx="0">
                  <c:v>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1C-4580-9AFB-2B7BCB142344}"/>
            </c:ext>
          </c:extLst>
        </c:ser>
        <c:ser>
          <c:idx val="3"/>
          <c:order val="3"/>
          <c:tx>
            <c:strRef>
              <c:f>'P1 Country x type'!$E$4</c:f>
              <c:strCache>
                <c:ptCount val="1"/>
                <c:pt idx="0">
                  <c:v>Warehouse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Country x type'!$A$5:$A$11</c:f>
              <c:strCache>
                <c:ptCount val="7"/>
                <c:pt idx="0">
                  <c:v>Spain</c:v>
                </c:pt>
                <c:pt idx="1">
                  <c:v>Portugal</c:v>
                </c:pt>
                <c:pt idx="2">
                  <c:v>Mexico</c:v>
                </c:pt>
                <c:pt idx="3">
                  <c:v>Colombia</c:v>
                </c:pt>
                <c:pt idx="4">
                  <c:v>France</c:v>
                </c:pt>
                <c:pt idx="5">
                  <c:v>Greece</c:v>
                </c:pt>
                <c:pt idx="6">
                  <c:v>Italy</c:v>
                </c:pt>
              </c:strCache>
            </c:strRef>
          </c:cat>
          <c:val>
            <c:numRef>
              <c:f>'P1 Country x type'!$E$5:$E$11</c:f>
              <c:numCache>
                <c:formatCode>General</c:formatCode>
                <c:ptCount val="7"/>
                <c:pt idx="0">
                  <c:v>364</c:v>
                </c:pt>
                <c:pt idx="1">
                  <c:v>0</c:v>
                </c:pt>
                <c:pt idx="2">
                  <c:v>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31C-4580-9AFB-2B7BCB142344}"/>
            </c:ext>
          </c:extLst>
        </c:ser>
        <c:ser>
          <c:idx val="4"/>
          <c:order val="4"/>
          <c:tx>
            <c:strRef>
              <c:f>'P1 Country x type'!$F$4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C4A11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Country x type'!$A$5:$A$11</c:f>
              <c:strCache>
                <c:ptCount val="7"/>
                <c:pt idx="0">
                  <c:v>Spain</c:v>
                </c:pt>
                <c:pt idx="1">
                  <c:v>Portugal</c:v>
                </c:pt>
                <c:pt idx="2">
                  <c:v>Mexico</c:v>
                </c:pt>
                <c:pt idx="3">
                  <c:v>Colombia</c:v>
                </c:pt>
                <c:pt idx="4">
                  <c:v>France</c:v>
                </c:pt>
                <c:pt idx="5">
                  <c:v>Greece</c:v>
                </c:pt>
                <c:pt idx="6">
                  <c:v>Italy</c:v>
                </c:pt>
              </c:strCache>
            </c:strRef>
          </c:cat>
          <c:val>
            <c:numRef>
              <c:f>'P1 Country x type'!$F$5:$F$11</c:f>
              <c:numCache>
                <c:formatCode>General</c:formatCode>
                <c:ptCount val="7"/>
                <c:pt idx="0">
                  <c:v>11</c:v>
                </c:pt>
                <c:pt idx="1">
                  <c:v>0</c:v>
                </c:pt>
                <c:pt idx="2">
                  <c:v>140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31C-4580-9AFB-2B7BCB1423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15 regulations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'P1 Regulations'!$B$4</c:f>
              <c:strCache>
                <c:ptCount val="1"/>
                <c:pt idx="0">
                  <c:v>Requirements citing it</c:v>
                </c:pt>
              </c:strCache>
            </c:strRef>
          </c:tx>
          <c:spPr>
            <a:solidFill>
              <a:srgbClr val="1B1F3B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Regulations'!$A$5:$A$19</c:f>
              <c:strCache>
                <c:ptCount val="15"/>
                <c:pt idx="0">
                  <c:v>NOM-030-STPS-2009</c:v>
                </c:pt>
                <c:pt idx="1">
                  <c:v>RD 1215/1997 Anexo I</c:v>
                </c:pt>
                <c:pt idx="2">
                  <c:v>Decreto 1072/2015</c:v>
                </c:pt>
                <c:pt idx="3">
                  <c:v>NOM-006-STPS-2014</c:v>
                </c:pt>
                <c:pt idx="4">
                  <c:v>NOM-002-STPS-2010</c:v>
                </c:pt>
                <c:pt idx="5">
                  <c:v>NOM-001-STPS-2008</c:v>
                </c:pt>
                <c:pt idx="6">
                  <c:v>NTP 298 INSST</c:v>
                </c:pt>
                <c:pt idx="7">
                  <c:v>RD 486/1997 Anexo 1-A punto 6</c:v>
                </c:pt>
                <c:pt idx="8">
                  <c:v>RD 486/1997 Anexo 1-A punto 5</c:v>
                </c:pt>
                <c:pt idx="9">
                  <c:v>RFSST Art. 18</c:v>
                </c:pt>
                <c:pt idx="10">
                  <c:v>RD 614/2001</c:v>
                </c:pt>
                <c:pt idx="11">
                  <c:v>NTP 852 INSST</c:v>
                </c:pt>
                <c:pt idx="12">
                  <c:v>RD 1215/1997 Art. 4</c:v>
                </c:pt>
                <c:pt idx="13">
                  <c:v>NOM-001-STPS</c:v>
                </c:pt>
                <c:pt idx="14">
                  <c:v>RD 2267/2004</c:v>
                </c:pt>
              </c:strCache>
            </c:strRef>
          </c:cat>
          <c:val>
            <c:numRef>
              <c:f>'P1 Regulations'!$B$5:$B$19</c:f>
              <c:numCache>
                <c:formatCode>General</c:formatCode>
                <c:ptCount val="15"/>
                <c:pt idx="0">
                  <c:v>78</c:v>
                </c:pt>
                <c:pt idx="1">
                  <c:v>45</c:v>
                </c:pt>
                <c:pt idx="2">
                  <c:v>38</c:v>
                </c:pt>
                <c:pt idx="3">
                  <c:v>35</c:v>
                </c:pt>
                <c:pt idx="4">
                  <c:v>29</c:v>
                </c:pt>
                <c:pt idx="5">
                  <c:v>26</c:v>
                </c:pt>
                <c:pt idx="6">
                  <c:v>25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0F-4671-974E-4D4D9855FC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Requirements per site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'P1 Requirements per site'!$E$4</c:f>
              <c:strCache>
                <c:ptCount val="1"/>
                <c:pt idx="0">
                  <c:v>Requirements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'P1 Requirements per site'!$C$5:$C$27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'P1 Requirements per site'!$E$5:$E$27</c:f>
              <c:numCache>
                <c:formatCode>General</c:formatCode>
                <c:ptCount val="23"/>
                <c:pt idx="0">
                  <c:v>81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72</c:v>
                </c:pt>
                <c:pt idx="5">
                  <c:v>58</c:v>
                </c:pt>
                <c:pt idx="6">
                  <c:v>31</c:v>
                </c:pt>
                <c:pt idx="7">
                  <c:v>11</c:v>
                </c:pt>
                <c:pt idx="8">
                  <c:v>45</c:v>
                </c:pt>
                <c:pt idx="9">
                  <c:v>81</c:v>
                </c:pt>
                <c:pt idx="10">
                  <c:v>47</c:v>
                </c:pt>
                <c:pt idx="11">
                  <c:v>38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25</c:v>
                </c:pt>
                <c:pt idx="16">
                  <c:v>25</c:v>
                </c:pt>
                <c:pt idx="17">
                  <c:v>49</c:v>
                </c:pt>
                <c:pt idx="18">
                  <c:v>21</c:v>
                </c:pt>
                <c:pt idx="19">
                  <c:v>31</c:v>
                </c:pt>
                <c:pt idx="20">
                  <c:v>30</c:v>
                </c:pt>
                <c:pt idx="21">
                  <c:v>28</c:v>
                </c:pt>
                <c:pt idx="22">
                  <c:v>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5D-45F8-A2A6-E260F4092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ES-VIT · Vitoria Factory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criticality'!$B$6:$B$8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A4-4680-92E3-E5FA6E9625B3}"/>
            </c:ext>
          </c:extLst>
        </c:ser>
        <c:ser>
          <c:idx val="1"/>
          <c:order val="1"/>
          <c:tx>
            <c:strRef>
              <c:f>'P2 Site criticality'!$C$5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criticality'!$C$6:$C$8</c:f>
              <c:numCache>
                <c:formatCode>General</c:formatCode>
                <c:ptCount val="3"/>
                <c:pt idx="0">
                  <c:v>15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A4-4680-92E3-E5FA6E9625B3}"/>
            </c:ext>
          </c:extLst>
        </c:ser>
        <c:ser>
          <c:idx val="2"/>
          <c:order val="2"/>
          <c:tx>
            <c:strRef>
              <c:f>'P2 Site criticality'!$D$5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criticality'!$D$6:$D$8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A4-4680-92E3-E5FA6E962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ES-MEC · Meco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criticality'!$B$22:$B$24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7C-4541-9C74-867CD2B139F2}"/>
            </c:ext>
          </c:extLst>
        </c:ser>
        <c:ser>
          <c:idx val="1"/>
          <c:order val="1"/>
          <c:tx>
            <c:strRef>
              <c:f>'P2 Site criticality'!$C$21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criticality'!$C$22:$C$24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D7C-4541-9C74-867CD2B139F2}"/>
            </c:ext>
          </c:extLst>
        </c:ser>
        <c:ser>
          <c:idx val="2"/>
          <c:order val="2"/>
          <c:tx>
            <c:strRef>
              <c:f>'P2 Site criticality'!$D$21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criticality'!$D$22:$D$24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D7C-4541-9C74-867CD2B13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ES-SEV · Sevilla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criticality'!$B$37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criticality'!$B$38:$B$40</c:f>
              <c:numCache>
                <c:formatCode>General</c:formatCode>
                <c:ptCount val="3"/>
                <c:pt idx="0">
                  <c:v>20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55-48AA-81A1-1CCEC223C39B}"/>
            </c:ext>
          </c:extLst>
        </c:ser>
        <c:ser>
          <c:idx val="1"/>
          <c:order val="1"/>
          <c:tx>
            <c:strRef>
              <c:f>'P2 Site criticality'!$C$37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criticality'!$C$38:$C$40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55-48AA-81A1-1CCEC223C39B}"/>
            </c:ext>
          </c:extLst>
        </c:ser>
        <c:ser>
          <c:idx val="2"/>
          <c:order val="2"/>
          <c:tx>
            <c:strRef>
              <c:f>'P2 Site criticality'!$D$37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criticality'!$D$38:$D$40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55-48AA-81A1-1CCEC223C3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ES-VAL · Valencia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criticality'!$B$53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criticality'!$B$54:$B$56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F6-4DB0-805E-6D63BA548AD1}"/>
            </c:ext>
          </c:extLst>
        </c:ser>
        <c:ser>
          <c:idx val="1"/>
          <c:order val="1"/>
          <c:tx>
            <c:strRef>
              <c:f>'P2 Site criticality'!$C$53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criticality'!$C$54:$C$56</c:f>
              <c:numCache>
                <c:formatCode>General</c:formatCode>
                <c:ptCount val="3"/>
                <c:pt idx="0">
                  <c:v>3</c:v>
                </c:pt>
                <c:pt idx="1">
                  <c:v>16</c:v>
                </c:pt>
                <c:pt idx="2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8F6-4DB0-805E-6D63BA548AD1}"/>
            </c:ext>
          </c:extLst>
        </c:ser>
        <c:ser>
          <c:idx val="2"/>
          <c:order val="2"/>
          <c:tx>
            <c:strRef>
              <c:f>'P2 Site criticality'!$D$53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criticality'!$D$54:$D$56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8F6-4DB0-805E-6D63BA548A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ES-BUR · Burgos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criticality'!$B$69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criticality'!$B$70:$B$72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94-4F98-BDC0-ED7583CD073B}"/>
            </c:ext>
          </c:extLst>
        </c:ser>
        <c:ser>
          <c:idx val="1"/>
          <c:order val="1"/>
          <c:tx>
            <c:strRef>
              <c:f>'P2 Site criticality'!$C$69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criticality'!$C$70:$C$72</c:f>
              <c:numCache>
                <c:formatCode>General</c:formatCode>
                <c:ptCount val="3"/>
                <c:pt idx="0">
                  <c:v>6</c:v>
                </c:pt>
                <c:pt idx="1">
                  <c:v>18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894-4F98-BDC0-ED7583CD073B}"/>
            </c:ext>
          </c:extLst>
        </c:ser>
        <c:ser>
          <c:idx val="2"/>
          <c:order val="2"/>
          <c:tx>
            <c:strRef>
              <c:f>'P2 Site criticality'!$D$69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criticality'!$D$70:$D$72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894-4F98-BDC0-ED7583CD07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ES-AND · Andoain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criticality'!$B$85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criticality'!$B$86:$B$88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72-41B9-AC5D-CA0FECA1DCD9}"/>
            </c:ext>
          </c:extLst>
        </c:ser>
        <c:ser>
          <c:idx val="1"/>
          <c:order val="1"/>
          <c:tx>
            <c:strRef>
              <c:f>'P2 Site criticality'!$C$85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criticality'!$C$86:$C$88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72-41B9-AC5D-CA0FECA1DCD9}"/>
            </c:ext>
          </c:extLst>
        </c:ser>
        <c:ser>
          <c:idx val="2"/>
          <c:order val="2"/>
          <c:tx>
            <c:strRef>
              <c:f>'P2 Site criticality'!$D$85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criticality'!$D$86:$D$88</c:f>
              <c:numCache>
                <c:formatCode>General</c:formatCode>
                <c:ptCount val="3"/>
                <c:pt idx="0">
                  <c:v>4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72-41B9-AC5D-CA0FECA1DC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ES-MAD · Madrid Office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criticality'!$B$101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criticality'!$B$102:$B$104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A8-4645-B9E6-C3958502E4C7}"/>
            </c:ext>
          </c:extLst>
        </c:ser>
        <c:ser>
          <c:idx val="1"/>
          <c:order val="1"/>
          <c:tx>
            <c:strRef>
              <c:f>'P2 Site criticality'!$C$101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criticality'!$C$102:$C$104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A8-4645-B9E6-C3958502E4C7}"/>
            </c:ext>
          </c:extLst>
        </c:ser>
        <c:ser>
          <c:idx val="2"/>
          <c:order val="2"/>
          <c:tx>
            <c:strRef>
              <c:f>'P2 Site criticality'!$D$101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criticality'!$D$102:$D$104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A8-4645-B9E6-C3958502E4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ES-ACO · A Coruña – Repsol in-house warehouse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criticality'!$B$117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criticality'!$B$118:$B$120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D3-4D30-B80B-A55B2D50A325}"/>
            </c:ext>
          </c:extLst>
        </c:ser>
        <c:ser>
          <c:idx val="1"/>
          <c:order val="1"/>
          <c:tx>
            <c:strRef>
              <c:f>'P2 Site criticality'!$C$117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criticality'!$C$118:$C$120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D3-4D30-B80B-A55B2D50A325}"/>
            </c:ext>
          </c:extLst>
        </c:ser>
        <c:ser>
          <c:idx val="2"/>
          <c:order val="2"/>
          <c:tx>
            <c:strRef>
              <c:f>'P2 Site criticality'!$D$117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criticality'!$D$118:$D$120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3D3-4D30-B80B-A55B2D50A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PT-AVE · Aveiro Office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criticality'!$B$133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criticality'!$B$134:$B$136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4-4ADB-A8E8-C5A68CA1A6C6}"/>
            </c:ext>
          </c:extLst>
        </c:ser>
        <c:ser>
          <c:idx val="1"/>
          <c:order val="1"/>
          <c:tx>
            <c:strRef>
              <c:f>'P2 Site criticality'!$C$133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criticality'!$C$134:$C$136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4-4ADB-A8E8-C5A68CA1A6C6}"/>
            </c:ext>
          </c:extLst>
        </c:ser>
        <c:ser>
          <c:idx val="2"/>
          <c:order val="2"/>
          <c:tx>
            <c:strRef>
              <c:f>'P2 Site criticality'!$D$133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criticality'!$D$134:$D$136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4-4ADB-A8E8-C5A68CA1A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MX-MTY · Monterrey Warehouse (owned)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criticality'!$B$149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criticality'!$B$150:$B$152</c:f>
              <c:numCache>
                <c:formatCode>General</c:formatCode>
                <c:ptCount val="3"/>
                <c:pt idx="0">
                  <c:v>23</c:v>
                </c:pt>
                <c:pt idx="1">
                  <c:v>22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E9-440D-9B69-8D80329F3CFE}"/>
            </c:ext>
          </c:extLst>
        </c:ser>
        <c:ser>
          <c:idx val="1"/>
          <c:order val="1"/>
          <c:tx>
            <c:strRef>
              <c:f>'P2 Site criticality'!$C$149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criticality'!$C$150:$C$152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E9-440D-9B69-8D80329F3CFE}"/>
            </c:ext>
          </c:extLst>
        </c:ser>
        <c:ser>
          <c:idx val="2"/>
          <c:order val="2"/>
          <c:tx>
            <c:strRef>
              <c:f>'P2 Site criticality'!$D$149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criticality'!$D$150:$D$152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E9-440D-9B69-8D80329F3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MX-CDMX · CDMX Office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criticality'!$B$165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criticality'!$B$166:$B$168</c:f>
              <c:numCache>
                <c:formatCode>General</c:formatCode>
                <c:ptCount val="3"/>
                <c:pt idx="0">
                  <c:v>22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FC-4AA5-A1B2-4D2C6CC1F193}"/>
            </c:ext>
          </c:extLst>
        </c:ser>
        <c:ser>
          <c:idx val="1"/>
          <c:order val="1"/>
          <c:tx>
            <c:strRef>
              <c:f>'P2 Site criticality'!$C$165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criticality'!$C$166:$C$168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FC-4AA5-A1B2-4D2C6CC1F193}"/>
            </c:ext>
          </c:extLst>
        </c:ser>
        <c:ser>
          <c:idx val="2"/>
          <c:order val="2"/>
          <c:tx>
            <c:strRef>
              <c:f>'P2 Site criticality'!$D$165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criticality'!$D$166:$D$168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7FC-4AA5-A1B2-4D2C6CC1F1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MX-INO · EPC INOAC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criticality'!$B$181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criticality'!$A$182:$A$184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criticality'!$B$182:$B$184</c:f>
              <c:numCache>
                <c:formatCode>General</c:formatCode>
                <c:ptCount val="3"/>
                <c:pt idx="0">
                  <c:v>13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ED-4536-8E87-1A302A2815EE}"/>
            </c:ext>
          </c:extLst>
        </c:ser>
        <c:ser>
          <c:idx val="1"/>
          <c:order val="1"/>
          <c:tx>
            <c:strRef>
              <c:f>'P2 Site criticality'!$C$181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criticality'!$A$182:$A$184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criticality'!$C$182:$C$184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3ED-4536-8E87-1A302A2815EE}"/>
            </c:ext>
          </c:extLst>
        </c:ser>
        <c:ser>
          <c:idx val="2"/>
          <c:order val="2"/>
          <c:tx>
            <c:strRef>
              <c:f>'P2 Site criticality'!$D$181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criticality'!$A$182:$A$184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criticality'!$D$182:$D$184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3ED-4536-8E87-1A302A2815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MX-IBE · Iberdrola in-house warehouse (checklist)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criticality'!$B$197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criticality'!$A$198:$A$200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criticality'!$B$198:$B$200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74-4409-ACBF-5D6634240366}"/>
            </c:ext>
          </c:extLst>
        </c:ser>
        <c:ser>
          <c:idx val="1"/>
          <c:order val="1"/>
          <c:tx>
            <c:strRef>
              <c:f>'P2 Site criticality'!$C$197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criticality'!$A$198:$A$200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criticality'!$C$198:$C$200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374-4409-ACBF-5D6634240366}"/>
            </c:ext>
          </c:extLst>
        </c:ser>
        <c:ser>
          <c:idx val="2"/>
          <c:order val="2"/>
          <c:tx>
            <c:strRef>
              <c:f>'P2 Site criticality'!$D$197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criticality'!$A$198:$A$200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criticality'!$D$198:$D$200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374-4409-ACBF-5D66342403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MX-BRA · Braskem in-house warehouse (checklist)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criticality'!$B$213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criticality'!$A$214:$A$216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criticality'!$B$214:$B$216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1B-4ED4-95E7-2478A6F5D5CE}"/>
            </c:ext>
          </c:extLst>
        </c:ser>
        <c:ser>
          <c:idx val="1"/>
          <c:order val="1"/>
          <c:tx>
            <c:strRef>
              <c:f>'P2 Site criticality'!$C$213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criticality'!$A$214:$A$216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criticality'!$C$214:$C$216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1B-4ED4-95E7-2478A6F5D5CE}"/>
            </c:ext>
          </c:extLst>
        </c:ser>
        <c:ser>
          <c:idx val="2"/>
          <c:order val="2"/>
          <c:tx>
            <c:strRef>
              <c:f>'P2 Site criticality'!$D$213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criticality'!$A$214:$A$216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criticality'!$D$214:$D$216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1B-4ED4-95E7-2478A6F5D5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MX-ALT · Altamira – Quantum warehouse &amp; services (checklist)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criticality'!$B$229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criticality'!$A$230:$A$232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criticality'!$B$230:$B$232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B0-43E6-A5DA-88B0F7D2CCAB}"/>
            </c:ext>
          </c:extLst>
        </c:ser>
        <c:ser>
          <c:idx val="1"/>
          <c:order val="1"/>
          <c:tx>
            <c:strRef>
              <c:f>'P2 Site criticality'!$C$229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criticality'!$A$230:$A$232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criticality'!$C$230:$C$232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B0-43E6-A5DA-88B0F7D2CCAB}"/>
            </c:ext>
          </c:extLst>
        </c:ser>
        <c:ser>
          <c:idx val="2"/>
          <c:order val="2"/>
          <c:tx>
            <c:strRef>
              <c:f>'P2 Site criticality'!$D$229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criticality'!$A$230:$A$232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criticality'!$D$230:$D$232</c:f>
              <c:numCache>
                <c:formatCode>General</c:formatCode>
                <c:ptCount val="3"/>
                <c:pt idx="0">
                  <c:v>29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9B0-43E6-A5DA-88B0F7D2CC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MX-SCH · Schneider general services (Monterrey) (checklist)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criticality'!$B$245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criticality'!$A$246:$A$248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criticality'!$B$246:$B$248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B2-4930-A1CD-12464D0CC57C}"/>
            </c:ext>
          </c:extLst>
        </c:ser>
        <c:ser>
          <c:idx val="1"/>
          <c:order val="1"/>
          <c:tx>
            <c:strRef>
              <c:f>'P2 Site criticality'!$C$245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criticality'!$A$246:$A$248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criticality'!$C$246:$C$248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B2-4930-A1CD-12464D0CC57C}"/>
            </c:ext>
          </c:extLst>
        </c:ser>
        <c:ser>
          <c:idx val="2"/>
          <c:order val="2"/>
          <c:tx>
            <c:strRef>
              <c:f>'P2 Site criticality'!$D$245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criticality'!$A$246:$A$248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criticality'!$D$246:$D$248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5B2-4930-A1CD-12464D0CC5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MX-CHE · Chetumal general services (checklist)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criticality'!$B$261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criticality'!$A$262:$A$264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criticality'!$B$262:$B$264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70-469E-BE11-B7BD79943E09}"/>
            </c:ext>
          </c:extLst>
        </c:ser>
        <c:ser>
          <c:idx val="1"/>
          <c:order val="1"/>
          <c:tx>
            <c:strRef>
              <c:f>'P2 Site criticality'!$C$261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criticality'!$A$262:$A$264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criticality'!$C$262:$C$264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70-469E-BE11-B7BD79943E09}"/>
            </c:ext>
          </c:extLst>
        </c:ser>
        <c:ser>
          <c:idx val="2"/>
          <c:order val="2"/>
          <c:tx>
            <c:strRef>
              <c:f>'P2 Site criticality'!$D$261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criticality'!$A$262:$A$264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criticality'!$D$262:$D$264</c:f>
              <c:numCache>
                <c:formatCode>General</c:formatCode>
                <c:ptCount val="3"/>
                <c:pt idx="0">
                  <c:v>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070-469E-BE11-B7BD79943E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CO-EPC · EPC Solar project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criticality'!$B$277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criticality'!$A$278:$A$280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criticality'!$B$278:$B$280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EC-4F03-8E97-7C5C4FC86FF9}"/>
            </c:ext>
          </c:extLst>
        </c:ser>
        <c:ser>
          <c:idx val="1"/>
          <c:order val="1"/>
          <c:tx>
            <c:strRef>
              <c:f>'P2 Site criticality'!$C$277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criticality'!$A$278:$A$280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criticality'!$C$278:$C$280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5EC-4F03-8E97-7C5C4FC86FF9}"/>
            </c:ext>
          </c:extLst>
        </c:ser>
        <c:ser>
          <c:idx val="2"/>
          <c:order val="2"/>
          <c:tx>
            <c:strRef>
              <c:f>'P2 Site criticality'!$D$277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criticality'!$A$278:$A$280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criticality'!$D$278:$D$280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5EC-4F03-8E97-7C5C4FC86F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CO-HOM · Home-office (teleworking)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criticality'!$B$293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criticality'!$A$294:$A$296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criticality'!$B$294:$B$296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B0-4A69-A57A-2A2E40D33EC1}"/>
            </c:ext>
          </c:extLst>
        </c:ser>
        <c:ser>
          <c:idx val="1"/>
          <c:order val="1"/>
          <c:tx>
            <c:strRef>
              <c:f>'P2 Site criticality'!$C$293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criticality'!$A$294:$A$296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criticality'!$C$294:$C$296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B0-4A69-A57A-2A2E40D33EC1}"/>
            </c:ext>
          </c:extLst>
        </c:ser>
        <c:ser>
          <c:idx val="2"/>
          <c:order val="2"/>
          <c:tx>
            <c:strRef>
              <c:f>'P2 Site criticality'!$D$293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criticality'!$A$294:$A$296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criticality'!$D$294:$D$296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AB0-4A69-A57A-2A2E40D33E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FR-EPC · EPC – subcontractor &amp; logistics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criticality'!$B$309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criticality'!$A$310:$A$312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criticality'!$B$310:$B$312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3A-4202-B2E6-AB741CDA2EBF}"/>
            </c:ext>
          </c:extLst>
        </c:ser>
        <c:ser>
          <c:idx val="1"/>
          <c:order val="1"/>
          <c:tx>
            <c:strRef>
              <c:f>'P2 Site criticality'!$C$309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criticality'!$A$310:$A$312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criticality'!$C$310:$C$312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3A-4202-B2E6-AB741CDA2EBF}"/>
            </c:ext>
          </c:extLst>
        </c:ser>
        <c:ser>
          <c:idx val="2"/>
          <c:order val="2"/>
          <c:tx>
            <c:strRef>
              <c:f>'P2 Site criticality'!$D$309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criticality'!$A$310:$A$312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criticality'!$D$310:$D$312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13A-4202-B2E6-AB741CDA2E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FR-OFF · Villeurbanne Office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criticality'!$B$325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criticality'!$A$326:$A$328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criticality'!$B$326:$B$328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19-4F2E-ABB4-39D79C7DB37D}"/>
            </c:ext>
          </c:extLst>
        </c:ser>
        <c:ser>
          <c:idx val="1"/>
          <c:order val="1"/>
          <c:tx>
            <c:strRef>
              <c:f>'P2 Site criticality'!$C$325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criticality'!$A$326:$A$328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criticality'!$C$326:$C$328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F19-4F2E-ABB4-39D79C7DB37D}"/>
            </c:ext>
          </c:extLst>
        </c:ser>
        <c:ser>
          <c:idx val="2"/>
          <c:order val="2"/>
          <c:tx>
            <c:strRef>
              <c:f>'P2 Site criticality'!$D$325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criticality'!$A$326:$A$328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criticality'!$D$326:$D$328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F19-4F2E-ABB4-39D79C7DB3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GR-ATH · Athens Office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criticality'!$B$341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criticality'!$A$342:$A$344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criticality'!$B$342:$B$344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5D-45FC-BB04-2FB9AA4790F2}"/>
            </c:ext>
          </c:extLst>
        </c:ser>
        <c:ser>
          <c:idx val="1"/>
          <c:order val="1"/>
          <c:tx>
            <c:strRef>
              <c:f>'P2 Site criticality'!$C$341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criticality'!$A$342:$A$344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criticality'!$C$342:$C$344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75D-45FC-BB04-2FB9AA4790F2}"/>
            </c:ext>
          </c:extLst>
        </c:ser>
        <c:ser>
          <c:idx val="2"/>
          <c:order val="2"/>
          <c:tx>
            <c:strRef>
              <c:f>'P2 Site criticality'!$D$341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criticality'!$A$342:$A$344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criticality'!$D$342:$D$344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75D-45FC-BB04-2FB9AA4790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IT-BUC · Buccinasco Office (HQ) (deck)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'P2 Site criticality'!$B$357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criticality'!$A$358:$A$360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criticality'!$B$358:$B$360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01-40CE-96EC-88BD7C697B15}"/>
            </c:ext>
          </c:extLst>
        </c:ser>
        <c:ser>
          <c:idx val="1"/>
          <c:order val="1"/>
          <c:tx>
            <c:strRef>
              <c:f>'P2 Site criticality'!$C$357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criticality'!$A$358:$A$360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criticality'!$C$358:$C$360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01-40CE-96EC-88BD7C697B15}"/>
            </c:ext>
          </c:extLst>
        </c:ser>
        <c:ser>
          <c:idx val="2"/>
          <c:order val="2"/>
          <c:tx>
            <c:strRef>
              <c:f>'P2 Site criticality'!$D$357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criticality'!$A$358:$A$360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'P2 Site criticality'!$D$358:$D$360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01-40CE-96EC-88BD7C697B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Checklist status per site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'P2 Site status (checklist)'!$C$4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status (checklist)'!$B$5:$B$27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Site status (checklist)'!$C$5:$C$27</c:f>
              <c:numCache>
                <c:formatCode>General</c:formatCode>
                <c:ptCount val="23"/>
                <c:pt idx="0">
                  <c:v>3</c:v>
                </c:pt>
                <c:pt idx="1">
                  <c:v>24</c:v>
                </c:pt>
                <c:pt idx="2">
                  <c:v>24</c:v>
                </c:pt>
                <c:pt idx="3">
                  <c:v>21</c:v>
                </c:pt>
                <c:pt idx="4">
                  <c:v>11</c:v>
                </c:pt>
                <c:pt idx="5">
                  <c:v>2</c:v>
                </c:pt>
                <c:pt idx="6">
                  <c:v>14</c:v>
                </c:pt>
                <c:pt idx="7">
                  <c:v>10</c:v>
                </c:pt>
                <c:pt idx="8">
                  <c:v>17</c:v>
                </c:pt>
                <c:pt idx="9">
                  <c:v>53</c:v>
                </c:pt>
                <c:pt idx="10">
                  <c:v>35</c:v>
                </c:pt>
                <c:pt idx="11">
                  <c:v>27</c:v>
                </c:pt>
                <c:pt idx="12">
                  <c:v>4</c:v>
                </c:pt>
                <c:pt idx="13">
                  <c:v>23</c:v>
                </c:pt>
                <c:pt idx="14">
                  <c:v>0</c:v>
                </c:pt>
                <c:pt idx="15">
                  <c:v>13</c:v>
                </c:pt>
                <c:pt idx="16">
                  <c:v>8</c:v>
                </c:pt>
                <c:pt idx="17">
                  <c:v>9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9</c:v>
                </c:pt>
                <c:pt idx="22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62-4347-88F2-8E065F44D624}"/>
            </c:ext>
          </c:extLst>
        </c:ser>
        <c:ser>
          <c:idx val="1"/>
          <c:order val="1"/>
          <c:tx>
            <c:strRef>
              <c:f>'P2 Site status (checklist)'!$D$4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status (checklist)'!$B$5:$B$27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Site status (checklist)'!$D$5:$D$27</c:f>
              <c:numCache>
                <c:formatCode>General</c:formatCode>
                <c:ptCount val="23"/>
                <c:pt idx="0">
                  <c:v>33</c:v>
                </c:pt>
                <c:pt idx="1">
                  <c:v>19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13</c:v>
                </c:pt>
                <c:pt idx="6">
                  <c:v>11</c:v>
                </c:pt>
                <c:pt idx="7">
                  <c:v>1</c:v>
                </c:pt>
                <c:pt idx="8">
                  <c:v>14</c:v>
                </c:pt>
                <c:pt idx="9">
                  <c:v>13</c:v>
                </c:pt>
                <c:pt idx="10">
                  <c:v>6</c:v>
                </c:pt>
                <c:pt idx="11">
                  <c:v>3</c:v>
                </c:pt>
                <c:pt idx="12">
                  <c:v>12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6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462-4347-88F2-8E065F44D624}"/>
            </c:ext>
          </c:extLst>
        </c:ser>
        <c:ser>
          <c:idx val="2"/>
          <c:order val="2"/>
          <c:tx>
            <c:strRef>
              <c:f>'P2 Site status (checklist)'!$E$4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status (checklist)'!$B$5:$B$27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Site status (checklist)'!$E$5:$E$27</c:f>
              <c:numCache>
                <c:formatCode>General</c:formatCode>
                <c:ptCount val="23"/>
                <c:pt idx="0">
                  <c:v>31</c:v>
                </c:pt>
                <c:pt idx="1">
                  <c:v>26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  <c:pt idx="5">
                  <c:v>34</c:v>
                </c:pt>
                <c:pt idx="6">
                  <c:v>6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4</c:v>
                </c:pt>
                <c:pt idx="14">
                  <c:v>30</c:v>
                </c:pt>
                <c:pt idx="15">
                  <c:v>7</c:v>
                </c:pt>
                <c:pt idx="16">
                  <c:v>15</c:v>
                </c:pt>
                <c:pt idx="17">
                  <c:v>24</c:v>
                </c:pt>
                <c:pt idx="18">
                  <c:v>12</c:v>
                </c:pt>
                <c:pt idx="19">
                  <c:v>29</c:v>
                </c:pt>
                <c:pt idx="20">
                  <c:v>30</c:v>
                </c:pt>
                <c:pt idx="21">
                  <c:v>10</c:v>
                </c:pt>
                <c:pt idx="2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462-4347-88F2-8E065F44D624}"/>
            </c:ext>
          </c:extLst>
        </c:ser>
        <c:ser>
          <c:idx val="3"/>
          <c:order val="3"/>
          <c:tx>
            <c:strRef>
              <c:f>'P2 Site status (checklist)'!$F$4</c:f>
              <c:strCache>
                <c:ptCount val="1"/>
                <c:pt idx="0">
                  <c:v>Not applicable</c:v>
                </c:pt>
              </c:strCache>
            </c:strRef>
          </c:tx>
          <c:spPr>
            <a:solidFill>
              <a:srgbClr val="B8BCC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status (checklist)'!$B$5:$B$27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Site status (checklist)'!$F$5:$F$27</c:f>
              <c:numCache>
                <c:formatCode>General</c:formatCode>
                <c:ptCount val="23"/>
                <c:pt idx="0">
                  <c:v>14</c:v>
                </c:pt>
                <c:pt idx="1">
                  <c:v>9</c:v>
                </c:pt>
                <c:pt idx="2">
                  <c:v>24</c:v>
                </c:pt>
                <c:pt idx="3">
                  <c:v>21</c:v>
                </c:pt>
                <c:pt idx="4">
                  <c:v>18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9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462-4347-88F2-8E065F44D624}"/>
            </c:ext>
          </c:extLst>
        </c:ser>
        <c:ser>
          <c:idx val="4"/>
          <c:order val="4"/>
          <c:tx>
            <c:strRef>
              <c:f>'P2 Site status (checklist)'!$G$4</c:f>
              <c:strCache>
                <c:ptCount val="1"/>
                <c:pt idx="0">
                  <c:v>Not assessed</c:v>
                </c:pt>
              </c:strCache>
            </c:strRef>
          </c:tx>
          <c:spPr>
            <a:solidFill>
              <a:srgbClr val="D9DCE2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Site status (checklist)'!$B$5:$B$27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Site status (checklist)'!$G$5:$G$27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462-4347-88F2-8E065F44D6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ES-VIT · Vitoria Factory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(checklist)'!$D$5:$D$18</c:f>
              <c:strCache>
                <c:ptCount val="14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Machinery, equipment and regulated installations</c:v>
                </c:pt>
                <c:pt idx="3">
                  <c:v>Hot work and welding</c:v>
                </c:pt>
                <c:pt idx="4">
                  <c:v>ATEX zones</c:v>
                </c:pt>
                <c:pt idx="5">
                  <c:v>Falling loads/objects</c:v>
                </c:pt>
                <c:pt idx="6">
                  <c:v>Load handling</c:v>
                </c:pt>
                <c:pt idx="7">
                  <c:v>Vehicles</c:v>
                </c:pt>
                <c:pt idx="8">
                  <c:v>Chemical agents and hazardous waste</c:v>
                </c:pt>
                <c:pt idx="9">
                  <c:v>Physical risks</c:v>
                </c:pt>
                <c:pt idx="10">
                  <c:v>Fire risk</c:v>
                </c:pt>
                <c:pt idx="11">
                  <c:v>Loading and unloading</c:v>
                </c:pt>
                <c:pt idx="12">
                  <c:v>Contractor management</c:v>
                </c:pt>
                <c:pt idx="13">
                  <c:v>Loading gate</c:v>
                </c:pt>
              </c:strCache>
            </c:strRef>
          </c:cat>
          <c:val>
            <c:numRef>
              <c:f>'P2 Key activity (checklist)'!$E$5:$E$18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1B-4F45-BE78-0FFEEFF60BB8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(checklist)'!$D$5:$D$18</c:f>
              <c:strCache>
                <c:ptCount val="14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Machinery, equipment and regulated installations</c:v>
                </c:pt>
                <c:pt idx="3">
                  <c:v>Hot work and welding</c:v>
                </c:pt>
                <c:pt idx="4">
                  <c:v>ATEX zones</c:v>
                </c:pt>
                <c:pt idx="5">
                  <c:v>Falling loads/objects</c:v>
                </c:pt>
                <c:pt idx="6">
                  <c:v>Load handling</c:v>
                </c:pt>
                <c:pt idx="7">
                  <c:v>Vehicles</c:v>
                </c:pt>
                <c:pt idx="8">
                  <c:v>Chemical agents and hazardous waste</c:v>
                </c:pt>
                <c:pt idx="9">
                  <c:v>Physical risks</c:v>
                </c:pt>
                <c:pt idx="10">
                  <c:v>Fire risk</c:v>
                </c:pt>
                <c:pt idx="11">
                  <c:v>Loading and unloading</c:v>
                </c:pt>
                <c:pt idx="12">
                  <c:v>Contractor management</c:v>
                </c:pt>
                <c:pt idx="13">
                  <c:v>Loading gate</c:v>
                </c:pt>
              </c:strCache>
            </c:strRef>
          </c:cat>
          <c:val>
            <c:numRef>
              <c:f>'P2 Key activity (checklist)'!$F$5:$F$18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1B-4F45-BE78-0FFEEFF60BB8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(checklist)'!$D$5:$D$18</c:f>
              <c:strCache>
                <c:ptCount val="14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Machinery, equipment and regulated installations</c:v>
                </c:pt>
                <c:pt idx="3">
                  <c:v>Hot work and welding</c:v>
                </c:pt>
                <c:pt idx="4">
                  <c:v>ATEX zones</c:v>
                </c:pt>
                <c:pt idx="5">
                  <c:v>Falling loads/objects</c:v>
                </c:pt>
                <c:pt idx="6">
                  <c:v>Load handling</c:v>
                </c:pt>
                <c:pt idx="7">
                  <c:v>Vehicles</c:v>
                </c:pt>
                <c:pt idx="8">
                  <c:v>Chemical agents and hazardous waste</c:v>
                </c:pt>
                <c:pt idx="9">
                  <c:v>Physical risks</c:v>
                </c:pt>
                <c:pt idx="10">
                  <c:v>Fire risk</c:v>
                </c:pt>
                <c:pt idx="11">
                  <c:v>Loading and unloading</c:v>
                </c:pt>
                <c:pt idx="12">
                  <c:v>Contractor management</c:v>
                </c:pt>
                <c:pt idx="13">
                  <c:v>Loading gate</c:v>
                </c:pt>
              </c:strCache>
            </c:strRef>
          </c:cat>
          <c:val>
            <c:numRef>
              <c:f>'P2 Key activity (checklist)'!$G$5:$G$18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1B-4F45-BE78-0FFEEFF60B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ES-MEC · Meco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(checklist)'!$D$19:$D$31</c:f>
              <c:strCache>
                <c:ptCount val="13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Work at height</c:v>
                </c:pt>
                <c:pt idx="9">
                  <c:v>Vehicles</c:v>
                </c:pt>
                <c:pt idx="10">
                  <c:v>Fire risk</c:v>
                </c:pt>
                <c:pt idx="11">
                  <c:v>Contractor management</c:v>
                </c:pt>
                <c:pt idx="12">
                  <c:v>Loading and Unloading</c:v>
                </c:pt>
              </c:strCache>
            </c:strRef>
          </c:cat>
          <c:val>
            <c:numRef>
              <c:f>'P2 Key activity (checklist)'!$E$19:$E$31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D0-41B3-AC95-74A1DF58BA8D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(checklist)'!$D$19:$D$31</c:f>
              <c:strCache>
                <c:ptCount val="13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Work at height</c:v>
                </c:pt>
                <c:pt idx="9">
                  <c:v>Vehicles</c:v>
                </c:pt>
                <c:pt idx="10">
                  <c:v>Fire risk</c:v>
                </c:pt>
                <c:pt idx="11">
                  <c:v>Contractor management</c:v>
                </c:pt>
                <c:pt idx="12">
                  <c:v>Loading and Unloading</c:v>
                </c:pt>
              </c:strCache>
            </c:strRef>
          </c:cat>
          <c:val>
            <c:numRef>
              <c:f>'P2 Key activity (checklist)'!$F$19:$F$31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5D0-41B3-AC95-74A1DF58BA8D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(checklist)'!$D$19:$D$31</c:f>
              <c:strCache>
                <c:ptCount val="13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Work at height</c:v>
                </c:pt>
                <c:pt idx="9">
                  <c:v>Vehicles</c:v>
                </c:pt>
                <c:pt idx="10">
                  <c:v>Fire risk</c:v>
                </c:pt>
                <c:pt idx="11">
                  <c:v>Contractor management</c:v>
                </c:pt>
                <c:pt idx="12">
                  <c:v>Loading and Unloading</c:v>
                </c:pt>
              </c:strCache>
            </c:strRef>
          </c:cat>
          <c:val>
            <c:numRef>
              <c:f>'P2 Key activity (checklist)'!$G$19:$G$31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5D0-41B3-AC95-74A1DF58B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ES-SEV · Sevilla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(checklist)'!$D$32:$D$43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(checklist)'!$E$32:$E$43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E2-4708-BB35-D353D2AB9F50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(checklist)'!$D$32:$D$43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(checklist)'!$F$32:$F$43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E2-4708-BB35-D353D2AB9F50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(checklist)'!$D$32:$D$43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(checklist)'!$G$32:$G$43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AE2-4708-BB35-D353D2AB9F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ES-VAL · Valencia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(checklist)'!$D$44:$D$55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(checklist)'!$E$44:$E$55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F6-4DA7-AAD2-58899C111AF4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(checklist)'!$D$44:$D$55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(checklist)'!$F$44:$F$55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6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F6-4DA7-AAD2-58899C111AF4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(checklist)'!$D$44:$D$55</c:f>
              <c:strCache>
                <c:ptCount val="12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ATEX zones</c:v>
                </c:pt>
                <c:pt idx="8">
                  <c:v>Vehicles</c:v>
                </c:pt>
                <c:pt idx="9">
                  <c:v>Fire risk</c:v>
                </c:pt>
                <c:pt idx="10">
                  <c:v>Contractor management</c:v>
                </c:pt>
                <c:pt idx="11">
                  <c:v>Loading and Unloading</c:v>
                </c:pt>
              </c:strCache>
            </c:strRef>
          </c:cat>
          <c:val>
            <c:numRef>
              <c:f>'P2 Key activity (checklist)'!$G$44:$G$55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EF6-4DA7-AAD2-58899C111A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ES-BUR · Burgos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(checklist)'!$D$56:$D$66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Vehicles</c:v>
                </c:pt>
                <c:pt idx="8">
                  <c:v>Fire risk</c:v>
                </c:pt>
                <c:pt idx="9">
                  <c:v>Contractor management</c:v>
                </c:pt>
                <c:pt idx="10">
                  <c:v>Loading and Unloading</c:v>
                </c:pt>
              </c:strCache>
            </c:strRef>
          </c:cat>
          <c:val>
            <c:numRef>
              <c:f>'P2 Key activity (checklist)'!$E$56:$E$66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D7-4159-873A-7DF1D49849C4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(checklist)'!$D$56:$D$66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Vehicles</c:v>
                </c:pt>
                <c:pt idx="8">
                  <c:v>Fire risk</c:v>
                </c:pt>
                <c:pt idx="9">
                  <c:v>Contractor management</c:v>
                </c:pt>
                <c:pt idx="10">
                  <c:v>Loading and Unloading</c:v>
                </c:pt>
              </c:strCache>
            </c:strRef>
          </c:cat>
          <c:val>
            <c:numRef>
              <c:f>'P2 Key activity (checklist)'!$F$56:$F$66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D7-4159-873A-7DF1D49849C4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(checklist)'!$D$56:$D$66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Entrapment</c:v>
                </c:pt>
                <c:pt idx="6">
                  <c:v>Falling loads/objects</c:v>
                </c:pt>
                <c:pt idx="7">
                  <c:v>Vehicles</c:v>
                </c:pt>
                <c:pt idx="8">
                  <c:v>Fire risk</c:v>
                </c:pt>
                <c:pt idx="9">
                  <c:v>Contractor management</c:v>
                </c:pt>
                <c:pt idx="10">
                  <c:v>Loading and Unloading</c:v>
                </c:pt>
              </c:strCache>
            </c:strRef>
          </c:cat>
          <c:val>
            <c:numRef>
              <c:f>'P2 Key activity (checklist)'!$G$56:$G$66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D7-4159-873A-7DF1D49849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ES-AND · Andoain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(checklist)'!$D$67:$D$77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ATEX zones</c:v>
                </c:pt>
                <c:pt idx="6">
                  <c:v>Vehicles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</c:v>
                </c:pt>
                <c:pt idx="10">
                  <c:v>Chemical agents and hazardous waste</c:v>
                </c:pt>
              </c:strCache>
            </c:strRef>
          </c:cat>
          <c:val>
            <c:numRef>
              <c:f>'P2 Key activity (checklist)'!$E$67:$E$77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BE-41D5-9DE5-346D89029C91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(checklist)'!$D$67:$D$77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ATEX zones</c:v>
                </c:pt>
                <c:pt idx="6">
                  <c:v>Vehicles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</c:v>
                </c:pt>
                <c:pt idx="10">
                  <c:v>Chemical agents and hazardous waste</c:v>
                </c:pt>
              </c:strCache>
            </c:strRef>
          </c:cat>
          <c:val>
            <c:numRef>
              <c:f>'P2 Key activity (checklist)'!$F$67:$F$77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BE-41D5-9DE5-346D89029C91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(checklist)'!$D$67:$D$77</c:f>
              <c:strCache>
                <c:ptCount val="11"/>
                <c:pt idx="0">
                  <c:v>Opening and activity licences</c:v>
                </c:pt>
                <c:pt idx="1">
                  <c:v>Technical installations (certifications and installation certificates (boletines))</c:v>
                </c:pt>
                <c:pt idx="2">
                  <c:v>Loads at height</c:v>
                </c:pt>
                <c:pt idx="3">
                  <c:v>Loading gate</c:v>
                </c:pt>
                <c:pt idx="4">
                  <c:v>Load handling</c:v>
                </c:pt>
                <c:pt idx="5">
                  <c:v>ATEX zones</c:v>
                </c:pt>
                <c:pt idx="6">
                  <c:v>Vehicles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</c:v>
                </c:pt>
                <c:pt idx="10">
                  <c:v>Chemical agents and hazardous waste</c:v>
                </c:pt>
              </c:strCache>
            </c:strRef>
          </c:cat>
          <c:val>
            <c:numRef>
              <c:f>'P2 Key activity (checklist)'!$G$67:$G$77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BE-41D5-9DE5-346D89029C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ES-MAD · Madrid Office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(checklist)'!$D$78:$D$83</c:f>
              <c:strCache>
                <c:ptCount val="6"/>
                <c:pt idx="0">
                  <c:v>Opening and activity licences</c:v>
                </c:pt>
                <c:pt idx="1">
                  <c:v>Technical installations — certifications and installation certificates (boletines)</c:v>
                </c:pt>
                <c:pt idx="2">
                  <c:v>Psychosocial risk</c:v>
                </c:pt>
                <c:pt idx="3">
                  <c:v>Fire risk</c:v>
                </c:pt>
                <c:pt idx="4">
                  <c:v>Emergency plan</c:v>
                </c:pt>
                <c:pt idx="5">
                  <c:v>Display screen equipment (PVD) management</c:v>
                </c:pt>
              </c:strCache>
            </c:strRef>
          </c:cat>
          <c:val>
            <c:numRef>
              <c:f>'P2 Key activity (checklist)'!$E$78:$E$83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2A-459F-8A80-2178AFF45E6D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(checklist)'!$D$78:$D$83</c:f>
              <c:strCache>
                <c:ptCount val="6"/>
                <c:pt idx="0">
                  <c:v>Opening and activity licences</c:v>
                </c:pt>
                <c:pt idx="1">
                  <c:v>Technical installations — certifications and installation certificates (boletines)</c:v>
                </c:pt>
                <c:pt idx="2">
                  <c:v>Psychosocial risk</c:v>
                </c:pt>
                <c:pt idx="3">
                  <c:v>Fire risk</c:v>
                </c:pt>
                <c:pt idx="4">
                  <c:v>Emergency plan</c:v>
                </c:pt>
                <c:pt idx="5">
                  <c:v>Display screen equipment (PVD) management</c:v>
                </c:pt>
              </c:strCache>
            </c:strRef>
          </c:cat>
          <c:val>
            <c:numRef>
              <c:f>'P2 Key activity (checklist)'!$F$78:$F$83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42A-459F-8A80-2178AFF45E6D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(checklist)'!$D$78:$D$83</c:f>
              <c:strCache>
                <c:ptCount val="6"/>
                <c:pt idx="0">
                  <c:v>Opening and activity licences</c:v>
                </c:pt>
                <c:pt idx="1">
                  <c:v>Technical installations — certifications and installation certificates (boletines)</c:v>
                </c:pt>
                <c:pt idx="2">
                  <c:v>Psychosocial risk</c:v>
                </c:pt>
                <c:pt idx="3">
                  <c:v>Fire risk</c:v>
                </c:pt>
                <c:pt idx="4">
                  <c:v>Emergency plan</c:v>
                </c:pt>
                <c:pt idx="5">
                  <c:v>Display screen equipment (PVD) management</c:v>
                </c:pt>
              </c:strCache>
            </c:strRef>
          </c:cat>
          <c:val>
            <c:numRef>
              <c:f>'P2 Key activity (checklist)'!$G$78:$G$83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42A-459F-8A80-2178AFF45E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ES-ACO · A Coruña – Repsol in-house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(checklist)'!$D$84:$D$87</c:f>
              <c:strCache>
                <c:ptCount val="4"/>
                <c:pt idx="0">
                  <c:v>Coordination of business activities (CAE)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Recurso preventivo (on-site prevention supervisor) and accident management at a third-party workplace</c:v>
                </c:pt>
              </c:strCache>
            </c:strRef>
          </c:cat>
          <c:val>
            <c:numRef>
              <c:f>'P2 Key activity (checklist)'!$E$84:$E$87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C9-4C37-A560-4AAFF6F7E371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(checklist)'!$D$84:$D$87</c:f>
              <c:strCache>
                <c:ptCount val="4"/>
                <c:pt idx="0">
                  <c:v>Coordination of business activities (CAE)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Recurso preventivo (on-site prevention supervisor) and accident management at a third-party workplace</c:v>
                </c:pt>
              </c:strCache>
            </c:strRef>
          </c:cat>
          <c:val>
            <c:numRef>
              <c:f>'P2 Key activity (checklist)'!$F$84:$F$87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C9-4C37-A560-4AAFF6F7E371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(checklist)'!$D$84:$D$87</c:f>
              <c:strCache>
                <c:ptCount val="4"/>
                <c:pt idx="0">
                  <c:v>Coordination of business activities (CAE)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Recurso preventivo (on-site prevention supervisor) and accident management at a third-party workplace</c:v>
                </c:pt>
              </c:strCache>
            </c:strRef>
          </c:cat>
          <c:val>
            <c:numRef>
              <c:f>'P2 Key activity (checklist)'!$G$84:$G$87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EC9-4C37-A560-4AAFF6F7E3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PT-AVE · Aveiro Office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(checklist)'!$D$88:$D$95</c:f>
              <c:strCache>
                <c:ptCount val="8"/>
                <c:pt idx="0">
                  <c:v>Risk assessment</c:v>
                </c:pt>
                <c:pt idx="1">
                  <c:v>Ergonomics and working conditions</c:v>
                </c:pt>
                <c:pt idx="2">
                  <c:v>Emergency plan and fire safety</c:v>
                </c:pt>
                <c:pt idx="3">
                  <c:v>Management of visitors and external service providers</c:v>
                </c:pt>
                <c:pt idx="4">
                  <c:v>OHS organisation and management</c:v>
                </c:pt>
                <c:pt idx="5">
                  <c:v>Health surveillance</c:v>
                </c:pt>
                <c:pt idx="6">
                  <c:v>Site-specific risks</c:v>
                </c:pt>
                <c:pt idx="7">
                  <c:v>Psychosocial risk and teleworking</c:v>
                </c:pt>
              </c:strCache>
            </c:strRef>
          </c:cat>
          <c:val>
            <c:numRef>
              <c:f>'P2 Key activity (checklist)'!$E$88:$E$95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27-4DE1-8C31-47DDF53706E4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(checklist)'!$D$88:$D$95</c:f>
              <c:strCache>
                <c:ptCount val="8"/>
                <c:pt idx="0">
                  <c:v>Risk assessment</c:v>
                </c:pt>
                <c:pt idx="1">
                  <c:v>Ergonomics and working conditions</c:v>
                </c:pt>
                <c:pt idx="2">
                  <c:v>Emergency plan and fire safety</c:v>
                </c:pt>
                <c:pt idx="3">
                  <c:v>Management of visitors and external service providers</c:v>
                </c:pt>
                <c:pt idx="4">
                  <c:v>OHS organisation and management</c:v>
                </c:pt>
                <c:pt idx="5">
                  <c:v>Health surveillance</c:v>
                </c:pt>
                <c:pt idx="6">
                  <c:v>Site-specific risks</c:v>
                </c:pt>
                <c:pt idx="7">
                  <c:v>Psychosocial risk and teleworking</c:v>
                </c:pt>
              </c:strCache>
            </c:strRef>
          </c:cat>
          <c:val>
            <c:numRef>
              <c:f>'P2 Key activity (checklist)'!$F$88:$F$95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27-4DE1-8C31-47DDF53706E4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(checklist)'!$D$88:$D$95</c:f>
              <c:strCache>
                <c:ptCount val="8"/>
                <c:pt idx="0">
                  <c:v>Risk assessment</c:v>
                </c:pt>
                <c:pt idx="1">
                  <c:v>Ergonomics and working conditions</c:v>
                </c:pt>
                <c:pt idx="2">
                  <c:v>Emergency plan and fire safety</c:v>
                </c:pt>
                <c:pt idx="3">
                  <c:v>Management of visitors and external service providers</c:v>
                </c:pt>
                <c:pt idx="4">
                  <c:v>OHS organisation and management</c:v>
                </c:pt>
                <c:pt idx="5">
                  <c:v>Health surveillance</c:v>
                </c:pt>
                <c:pt idx="6">
                  <c:v>Site-specific risks</c:v>
                </c:pt>
                <c:pt idx="7">
                  <c:v>Psychosocial risk and teleworking</c:v>
                </c:pt>
              </c:strCache>
            </c:strRef>
          </c:cat>
          <c:val>
            <c:numRef>
              <c:f>'P2 Key activity (checklist)'!$G$88:$G$95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727-4DE1-8C31-47DDF53706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MX-MTY · Monterrey Warehouse (owned)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(checklist)'!$D$96:$D$116</c:f>
              <c:strCache>
                <c:ptCount val="21"/>
                <c:pt idx="0">
                  <c:v>Opening and activity licences</c:v>
                </c:pt>
                <c:pt idx="1">
                  <c:v>OHS plans and programmes
OHS management system</c:v>
                </c:pt>
                <c:pt idx="2">
                  <c:v>Contractor management</c:v>
                </c:pt>
                <c:pt idx="3">
                  <c:v>Workplace conditions</c:v>
                </c:pt>
                <c:pt idx="4">
                  <c:v>Machinery, equipment and LOTO</c:v>
                </c:pt>
                <c:pt idx="5">
                  <c:v>Entrapment</c:v>
                </c:pt>
                <c:pt idx="6">
                  <c:v>Industrial vehicles</c:v>
                </c:pt>
                <c:pt idx="7">
                  <c:v>High-level loading and racking</c:v>
                </c:pt>
                <c:pt idx="8">
                  <c:v>Falling loads/objects</c:v>
                </c:pt>
                <c:pt idx="9">
                  <c:v>Loading docks</c:v>
                </c:pt>
                <c:pt idx="10">
                  <c:v>Loading and unloading</c:v>
                </c:pt>
                <c:pt idx="11">
                  <c:v>Load handling</c:v>
                </c:pt>
                <c:pt idx="12">
                  <c:v>Work at height</c:v>
                </c:pt>
                <c:pt idx="13">
                  <c:v>Electrical installations — certifications and verification report</c:v>
                </c:pt>
                <c:pt idx="14">
                  <c:v>Electrical and battery safety</c:v>
                </c:pt>
                <c:pt idx="15">
                  <c:v>Technical installations — certifications and periodic inspections</c:v>
                </c:pt>
                <c:pt idx="16">
                  <c:v>Chemical products regulations (SGA/GHS)</c:v>
                </c:pt>
                <c:pt idx="17">
                  <c:v>Chemical agents and hazardous waste</c:v>
                </c:pt>
                <c:pt idx="18">
                  <c:v>Noise risk</c:v>
                </c:pt>
                <c:pt idx="19">
                  <c:v>Fire prevention and protection</c:v>
                </c:pt>
                <c:pt idx="20">
                  <c:v>Emergency and civil protection plan</c:v>
                </c:pt>
              </c:strCache>
            </c:strRef>
          </c:cat>
          <c:val>
            <c:numRef>
              <c:f>'P2 Key activity (checklist)'!$E$96:$E$116</c:f>
              <c:numCache>
                <c:formatCode>General</c:formatCode>
                <c:ptCount val="21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8-403C-99EA-DD23E390F096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(checklist)'!$D$96:$D$116</c:f>
              <c:strCache>
                <c:ptCount val="21"/>
                <c:pt idx="0">
                  <c:v>Opening and activity licences</c:v>
                </c:pt>
                <c:pt idx="1">
                  <c:v>OHS plans and programmes
OHS management system</c:v>
                </c:pt>
                <c:pt idx="2">
                  <c:v>Contractor management</c:v>
                </c:pt>
                <c:pt idx="3">
                  <c:v>Workplace conditions</c:v>
                </c:pt>
                <c:pt idx="4">
                  <c:v>Machinery, equipment and LOTO</c:v>
                </c:pt>
                <c:pt idx="5">
                  <c:v>Entrapment</c:v>
                </c:pt>
                <c:pt idx="6">
                  <c:v>Industrial vehicles</c:v>
                </c:pt>
                <c:pt idx="7">
                  <c:v>High-level loading and racking</c:v>
                </c:pt>
                <c:pt idx="8">
                  <c:v>Falling loads/objects</c:v>
                </c:pt>
                <c:pt idx="9">
                  <c:v>Loading docks</c:v>
                </c:pt>
                <c:pt idx="10">
                  <c:v>Loading and unloading</c:v>
                </c:pt>
                <c:pt idx="11">
                  <c:v>Load handling</c:v>
                </c:pt>
                <c:pt idx="12">
                  <c:v>Work at height</c:v>
                </c:pt>
                <c:pt idx="13">
                  <c:v>Electrical installations — certifications and verification report</c:v>
                </c:pt>
                <c:pt idx="14">
                  <c:v>Electrical and battery safety</c:v>
                </c:pt>
                <c:pt idx="15">
                  <c:v>Technical installations — certifications and periodic inspections</c:v>
                </c:pt>
                <c:pt idx="16">
                  <c:v>Chemical products regulations (SGA/GHS)</c:v>
                </c:pt>
                <c:pt idx="17">
                  <c:v>Chemical agents and hazardous waste</c:v>
                </c:pt>
                <c:pt idx="18">
                  <c:v>Noise risk</c:v>
                </c:pt>
                <c:pt idx="19">
                  <c:v>Fire prevention and protection</c:v>
                </c:pt>
                <c:pt idx="20">
                  <c:v>Emergency and civil protection plan</c:v>
                </c:pt>
              </c:strCache>
            </c:strRef>
          </c:cat>
          <c:val>
            <c:numRef>
              <c:f>'P2 Key activity (checklist)'!$F$96:$F$116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8-403C-99EA-DD23E390F096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(checklist)'!$D$96:$D$116</c:f>
              <c:strCache>
                <c:ptCount val="21"/>
                <c:pt idx="0">
                  <c:v>Opening and activity licences</c:v>
                </c:pt>
                <c:pt idx="1">
                  <c:v>OHS plans and programmes
OHS management system</c:v>
                </c:pt>
                <c:pt idx="2">
                  <c:v>Contractor management</c:v>
                </c:pt>
                <c:pt idx="3">
                  <c:v>Workplace conditions</c:v>
                </c:pt>
                <c:pt idx="4">
                  <c:v>Machinery, equipment and LOTO</c:v>
                </c:pt>
                <c:pt idx="5">
                  <c:v>Entrapment</c:v>
                </c:pt>
                <c:pt idx="6">
                  <c:v>Industrial vehicles</c:v>
                </c:pt>
                <c:pt idx="7">
                  <c:v>High-level loading and racking</c:v>
                </c:pt>
                <c:pt idx="8">
                  <c:v>Falling loads/objects</c:v>
                </c:pt>
                <c:pt idx="9">
                  <c:v>Loading docks</c:v>
                </c:pt>
                <c:pt idx="10">
                  <c:v>Loading and unloading</c:v>
                </c:pt>
                <c:pt idx="11">
                  <c:v>Load handling</c:v>
                </c:pt>
                <c:pt idx="12">
                  <c:v>Work at height</c:v>
                </c:pt>
                <c:pt idx="13">
                  <c:v>Electrical installations — certifications and verification report</c:v>
                </c:pt>
                <c:pt idx="14">
                  <c:v>Electrical and battery safety</c:v>
                </c:pt>
                <c:pt idx="15">
                  <c:v>Technical installations — certifications and periodic inspections</c:v>
                </c:pt>
                <c:pt idx="16">
                  <c:v>Chemical products regulations (SGA/GHS)</c:v>
                </c:pt>
                <c:pt idx="17">
                  <c:v>Chemical agents and hazardous waste</c:v>
                </c:pt>
                <c:pt idx="18">
                  <c:v>Noise risk</c:v>
                </c:pt>
                <c:pt idx="19">
                  <c:v>Fire prevention and protection</c:v>
                </c:pt>
                <c:pt idx="20">
                  <c:v>Emergency and civil protection plan</c:v>
                </c:pt>
              </c:strCache>
            </c:strRef>
          </c:cat>
          <c:val>
            <c:numRef>
              <c:f>'P2 Key activity (checklist)'!$G$96:$G$116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8-403C-99EA-DD23E390F0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MX-CDMX · CDMX Office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(checklist)'!$D$117:$D$129</c:f>
              <c:strCache>
                <c:ptCount val="13"/>
                <c:pt idx="0">
                  <c:v>Opening and activity licences</c:v>
                </c:pt>
                <c:pt idx="1">
                  <c:v>Electrical installations — certifications and certificates</c:v>
                </c:pt>
                <c:pt idx="2">
                  <c:v>Technical installations — certifications and periodic inspections</c:v>
                </c:pt>
                <c:pt idx="3">
                  <c:v>SST (OHS) management system and organisation</c:v>
                </c:pt>
                <c:pt idx="4">
                  <c:v>Accident notification and IMSS</c:v>
                </c:pt>
                <c:pt idx="5">
                  <c:v>Contractors and visitors</c:v>
                </c:pt>
                <c:pt idx="6">
                  <c:v>Psychosocial risk factors (NOM-035)</c:v>
                </c:pt>
                <c:pt idx="7">
                  <c:v>Ergonomics, display screen equipment and teleworking (NOM-036/037)</c:v>
                </c:pt>
                <c:pt idx="8">
                  <c:v>Physical conditions of the workplace</c:v>
                </c:pt>
                <c:pt idx="9">
                  <c:v>Chemical products regulations (SGA/GHS)</c:v>
                </c:pt>
                <c:pt idx="10">
                  <c:v>Electrical safety</c:v>
                </c:pt>
                <c:pt idx="11">
                  <c:v>Fire prevention and protection</c:v>
                </c:pt>
                <c:pt idx="12">
                  <c:v>Emergency and civil protection plan</c:v>
                </c:pt>
              </c:strCache>
            </c:strRef>
          </c:cat>
          <c:val>
            <c:numRef>
              <c:f>'P2 Key activity (checklist)'!$E$117:$E$129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3F-42F0-A836-E0D5C75619B6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(checklist)'!$D$117:$D$129</c:f>
              <c:strCache>
                <c:ptCount val="13"/>
                <c:pt idx="0">
                  <c:v>Opening and activity licences</c:v>
                </c:pt>
                <c:pt idx="1">
                  <c:v>Electrical installations — certifications and certificates</c:v>
                </c:pt>
                <c:pt idx="2">
                  <c:v>Technical installations — certifications and periodic inspections</c:v>
                </c:pt>
                <c:pt idx="3">
                  <c:v>SST (OHS) management system and organisation</c:v>
                </c:pt>
                <c:pt idx="4">
                  <c:v>Accident notification and IMSS</c:v>
                </c:pt>
                <c:pt idx="5">
                  <c:v>Contractors and visitors</c:v>
                </c:pt>
                <c:pt idx="6">
                  <c:v>Psychosocial risk factors (NOM-035)</c:v>
                </c:pt>
                <c:pt idx="7">
                  <c:v>Ergonomics, display screen equipment and teleworking (NOM-036/037)</c:v>
                </c:pt>
                <c:pt idx="8">
                  <c:v>Physical conditions of the workplace</c:v>
                </c:pt>
                <c:pt idx="9">
                  <c:v>Chemical products regulations (SGA/GHS)</c:v>
                </c:pt>
                <c:pt idx="10">
                  <c:v>Electrical safety</c:v>
                </c:pt>
                <c:pt idx="11">
                  <c:v>Fire prevention and protection</c:v>
                </c:pt>
                <c:pt idx="12">
                  <c:v>Emergency and civil protection plan</c:v>
                </c:pt>
              </c:strCache>
            </c:strRef>
          </c:cat>
          <c:val>
            <c:numRef>
              <c:f>'P2 Key activity (checklist)'!$F$117:$F$129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3F-42F0-A836-E0D5C75619B6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(checklist)'!$D$117:$D$129</c:f>
              <c:strCache>
                <c:ptCount val="13"/>
                <c:pt idx="0">
                  <c:v>Opening and activity licences</c:v>
                </c:pt>
                <c:pt idx="1">
                  <c:v>Electrical installations — certifications and certificates</c:v>
                </c:pt>
                <c:pt idx="2">
                  <c:v>Technical installations — certifications and periodic inspections</c:v>
                </c:pt>
                <c:pt idx="3">
                  <c:v>SST (OHS) management system and organisation</c:v>
                </c:pt>
                <c:pt idx="4">
                  <c:v>Accident notification and IMSS</c:v>
                </c:pt>
                <c:pt idx="5">
                  <c:v>Contractors and visitors</c:v>
                </c:pt>
                <c:pt idx="6">
                  <c:v>Psychosocial risk factors (NOM-035)</c:v>
                </c:pt>
                <c:pt idx="7">
                  <c:v>Ergonomics, display screen equipment and teleworking (NOM-036/037)</c:v>
                </c:pt>
                <c:pt idx="8">
                  <c:v>Physical conditions of the workplace</c:v>
                </c:pt>
                <c:pt idx="9">
                  <c:v>Chemical products regulations (SGA/GHS)</c:v>
                </c:pt>
                <c:pt idx="10">
                  <c:v>Electrical safety</c:v>
                </c:pt>
                <c:pt idx="11">
                  <c:v>Fire prevention and protection</c:v>
                </c:pt>
                <c:pt idx="12">
                  <c:v>Emergency and civil protection plan</c:v>
                </c:pt>
              </c:strCache>
            </c:strRef>
          </c:cat>
          <c:val>
            <c:numRef>
              <c:f>'P2 Key activity (checklist)'!$G$117:$G$129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53F-42F0-A836-E0D5C75619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MX-INO · EPC INOAC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(checklist)'!$D$130:$D$138</c:f>
              <c:strCache>
                <c:ptCount val="9"/>
                <c:pt idx="0">
                  <c:v>Planning and organisation of the SST (OHS) system</c:v>
                </c:pt>
                <c:pt idx="1">
                  <c:v>Subcontractor management and site access</c:v>
                </c:pt>
                <c:pt idx="2">
                  <c:v>Training, IMSS and accident notification</c:v>
                </c:pt>
                <c:pt idx="3">
                  <c:v>Work permit system</c:v>
                </c:pt>
                <c:pt idx="4">
                  <c:v>Work at height</c:v>
                </c:pt>
                <c:pt idx="5">
                  <c:v>Special-risk work on site</c:v>
                </c:pt>
                <c:pt idx="6">
                  <c:v>Electrical safety and photovoltaic systems</c:v>
                </c:pt>
                <c:pt idx="7">
                  <c:v>Emergency plan, PPE and welfare on site</c:v>
                </c:pt>
                <c:pt idx="8">
                  <c:v>Project environmental management</c:v>
                </c:pt>
              </c:strCache>
            </c:strRef>
          </c:cat>
          <c:val>
            <c:numRef>
              <c:f>'P2 Key activity (checklist)'!$E$130:$E$138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17-4068-AE1C-9F87F64E9726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(checklist)'!$D$130:$D$138</c:f>
              <c:strCache>
                <c:ptCount val="9"/>
                <c:pt idx="0">
                  <c:v>Planning and organisation of the SST (OHS) system</c:v>
                </c:pt>
                <c:pt idx="1">
                  <c:v>Subcontractor management and site access</c:v>
                </c:pt>
                <c:pt idx="2">
                  <c:v>Training, IMSS and accident notification</c:v>
                </c:pt>
                <c:pt idx="3">
                  <c:v>Work permit system</c:v>
                </c:pt>
                <c:pt idx="4">
                  <c:v>Work at height</c:v>
                </c:pt>
                <c:pt idx="5">
                  <c:v>Special-risk work on site</c:v>
                </c:pt>
                <c:pt idx="6">
                  <c:v>Electrical safety and photovoltaic systems</c:v>
                </c:pt>
                <c:pt idx="7">
                  <c:v>Emergency plan, PPE and welfare on site</c:v>
                </c:pt>
                <c:pt idx="8">
                  <c:v>Project environmental management</c:v>
                </c:pt>
              </c:strCache>
            </c:strRef>
          </c:cat>
          <c:val>
            <c:numRef>
              <c:f>'P2 Key activity (checklist)'!$F$130:$F$138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E17-4068-AE1C-9F87F64E9726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(checklist)'!$D$130:$D$138</c:f>
              <c:strCache>
                <c:ptCount val="9"/>
                <c:pt idx="0">
                  <c:v>Planning and organisation of the SST (OHS) system</c:v>
                </c:pt>
                <c:pt idx="1">
                  <c:v>Subcontractor management and site access</c:v>
                </c:pt>
                <c:pt idx="2">
                  <c:v>Training, IMSS and accident notification</c:v>
                </c:pt>
                <c:pt idx="3">
                  <c:v>Work permit system</c:v>
                </c:pt>
                <c:pt idx="4">
                  <c:v>Work at height</c:v>
                </c:pt>
                <c:pt idx="5">
                  <c:v>Special-risk work on site</c:v>
                </c:pt>
                <c:pt idx="6">
                  <c:v>Electrical safety and photovoltaic systems</c:v>
                </c:pt>
                <c:pt idx="7">
                  <c:v>Emergency plan, PPE and welfare on site</c:v>
                </c:pt>
                <c:pt idx="8">
                  <c:v>Project environmental management</c:v>
                </c:pt>
              </c:strCache>
            </c:strRef>
          </c:cat>
          <c:val>
            <c:numRef>
              <c:f>'P2 Key activity (checklist)'!$G$130:$G$138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E17-4068-AE1C-9F87F64E97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MX-IBE · Iberdrola in-house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(checklist)'!$D$139:$D$149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(checklist)'!$E$139:$E$149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6F-40F6-A9EB-18823AC64DA9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(checklist)'!$D$139:$D$149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(checklist)'!$F$139:$F$149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6F-40F6-A9EB-18823AC64DA9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(checklist)'!$D$139:$D$149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(checklist)'!$G$139:$G$149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66F-40F6-A9EB-18823AC64D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MX-BRA · Braskem in-house warehouse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(checklist)'!$D$150:$D$160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(checklist)'!$E$150:$E$160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15-404D-B094-EE88656A50FE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(checklist)'!$D$150:$D$160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(checklist)'!$F$150:$F$160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15-404D-B094-EE88656A50FE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(checklist)'!$D$150:$D$160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(checklist)'!$G$150:$G$160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15-404D-B094-EE88656A50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MX-ALT · Altamira – Quantum warehouse &amp; services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(checklist)'!$D$161:$D$171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(checklist)'!$E$161:$E$171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17-4786-864E-6A29D579EB3D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(checklist)'!$D$161:$D$171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(checklist)'!$F$161:$F$171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17-4786-864E-6A29D579EB3D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(checklist)'!$D$161:$D$171</c:f>
              <c:strCache>
                <c:ptCount val="11"/>
                <c:pt idx="0">
                  <c:v>Coordination with the client (OHS obligations)</c:v>
                </c:pt>
                <c:pt idx="1">
                  <c:v>Risk assessment and pre-deployment preparation</c:v>
                </c:pt>
                <c:pt idx="2">
                  <c:v>Information, training and health surveillance</c:v>
                </c:pt>
                <c:pt idx="3">
                  <c:v>Accident notification and recurso preventivo (on-site prevention supervisor) at a third-party site</c:v>
                </c:pt>
                <c:pt idx="4">
                  <c:v>OHS plans and programmes
OHS management system</c:v>
                </c:pt>
                <c:pt idx="5">
                  <c:v>High-level loading and racking</c:v>
                </c:pt>
                <c:pt idx="6">
                  <c:v>Industrial vehicles</c:v>
                </c:pt>
                <c:pt idx="7">
                  <c:v>Load handling</c:v>
                </c:pt>
                <c:pt idx="8">
                  <c:v>Chemical agents and hazardous waste</c:v>
                </c:pt>
                <c:pt idx="9">
                  <c:v>Fire prevention and protection</c:v>
                </c:pt>
                <c:pt idx="10">
                  <c:v>Emergency and civil protection plan</c:v>
                </c:pt>
              </c:strCache>
            </c:strRef>
          </c:cat>
          <c:val>
            <c:numRef>
              <c:f>'P2 Key activity (checklist)'!$G$161:$G$171</c:f>
              <c:numCache>
                <c:formatCode>General</c:formatCode>
                <c:ptCount val="11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017-4786-864E-6A29D579EB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MX-SCH · Schneider general services (Monterrey)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(checklist)'!$D$172:$D$175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(checklist)'!$E$172:$E$175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A7-4AAA-B03D-01DA8730391D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(checklist)'!$D$172:$D$175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(checklist)'!$F$172:$F$175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A7-4AAA-B03D-01DA8730391D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(checklist)'!$D$172:$D$175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(checklist)'!$G$172:$G$175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DA7-4AAA-B03D-01DA873039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MX-CHE · Chetumal general services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(checklist)'!$D$176:$D$179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(checklist)'!$E$176:$E$179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D8-431B-B749-C062A67EAEE6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(checklist)'!$D$176:$D$179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(checklist)'!$F$176:$F$179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0D8-431B-B749-C062A67EAEE6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(checklist)'!$D$176:$D$179</c:f>
              <c:strCache>
                <c:ptCount val="4"/>
                <c:pt idx="0">
                  <c:v>Organisation and management of the OHS system</c:v>
                </c:pt>
                <c:pt idx="1">
                  <c:v>Coordination with the client (.)</c:v>
                </c:pt>
                <c:pt idx="2">
                  <c:v>Logistics operations at client premises</c:v>
                </c:pt>
                <c:pt idx="3">
                  <c:v>Emergencies, PPE and welfare at client premises</c:v>
                </c:pt>
              </c:strCache>
            </c:strRef>
          </c:cat>
          <c:val>
            <c:numRef>
              <c:f>'P2 Key activity (checklist)'!$G$176:$G$179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0D8-431B-B749-C062A67EAE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CO-EPC · EPC Solar project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(checklist)'!$D$180:$D$190</c:f>
              <c:strCache>
                <c:ptCount val="11"/>
                <c:pt idx="0">
                  <c:v>SG-SST general framework</c:v>
                </c:pt>
                <c:pt idx="1">
                  <c:v>Loads at height / Lifting</c:v>
                </c:pt>
                <c:pt idx="2">
                  <c:v>Load handling</c:v>
                </c:pt>
                <c:pt idx="3">
                  <c:v>Entrapment / Machinery</c:v>
                </c:pt>
                <c:pt idx="4">
                  <c:v>Falling loads and objects</c:v>
                </c:pt>
                <c:pt idx="5">
                  <c:v>Work at height</c:v>
                </c:pt>
                <c:pt idx="6">
                  <c:v>Electrical risk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 / Vehicles</c:v>
                </c:pt>
                <c:pt idx="10">
                  <c:v>Public risk</c:v>
                </c:pt>
              </c:strCache>
            </c:strRef>
          </c:cat>
          <c:val>
            <c:numRef>
              <c:f>'P2 Key activity (checklist)'!$E$180:$E$190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3F-466A-A706-0E1F78134DA1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(checklist)'!$D$180:$D$190</c:f>
              <c:strCache>
                <c:ptCount val="11"/>
                <c:pt idx="0">
                  <c:v>SG-SST general framework</c:v>
                </c:pt>
                <c:pt idx="1">
                  <c:v>Loads at height / Lifting</c:v>
                </c:pt>
                <c:pt idx="2">
                  <c:v>Load handling</c:v>
                </c:pt>
                <c:pt idx="3">
                  <c:v>Entrapment / Machinery</c:v>
                </c:pt>
                <c:pt idx="4">
                  <c:v>Falling loads and objects</c:v>
                </c:pt>
                <c:pt idx="5">
                  <c:v>Work at height</c:v>
                </c:pt>
                <c:pt idx="6">
                  <c:v>Electrical risk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 / Vehicles</c:v>
                </c:pt>
                <c:pt idx="10">
                  <c:v>Public risk</c:v>
                </c:pt>
              </c:strCache>
            </c:strRef>
          </c:cat>
          <c:val>
            <c:numRef>
              <c:f>'P2 Key activity (checklist)'!$F$180:$F$190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3F-466A-A706-0E1F78134DA1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(checklist)'!$D$180:$D$190</c:f>
              <c:strCache>
                <c:ptCount val="11"/>
                <c:pt idx="0">
                  <c:v>SG-SST general framework</c:v>
                </c:pt>
                <c:pt idx="1">
                  <c:v>Loads at height / Lifting</c:v>
                </c:pt>
                <c:pt idx="2">
                  <c:v>Load handling</c:v>
                </c:pt>
                <c:pt idx="3">
                  <c:v>Entrapment / Machinery</c:v>
                </c:pt>
                <c:pt idx="4">
                  <c:v>Falling loads and objects</c:v>
                </c:pt>
                <c:pt idx="5">
                  <c:v>Work at height</c:v>
                </c:pt>
                <c:pt idx="6">
                  <c:v>Electrical risk</c:v>
                </c:pt>
                <c:pt idx="7">
                  <c:v>Fire risk</c:v>
                </c:pt>
                <c:pt idx="8">
                  <c:v>Contractor management</c:v>
                </c:pt>
                <c:pt idx="9">
                  <c:v>Loading and unloading / Vehicles</c:v>
                </c:pt>
                <c:pt idx="10">
                  <c:v>Public risk</c:v>
                </c:pt>
              </c:strCache>
            </c:strRef>
          </c:cat>
          <c:val>
            <c:numRef>
              <c:f>'P2 Key activity (checklist)'!$G$180:$G$190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03F-466A-A706-0E1F78134D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CO-HOM · Home-office (teleworking)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(checklist)'!$D$191:$D$196</c:f>
              <c:strCache>
                <c:ptCount val="6"/>
                <c:pt idx="0">
                  <c:v>Teleworking and working from home — legal and contractual framework</c:v>
                </c:pt>
                <c:pt idx="1">
                  <c:v>Organisation of the SG-SST (OHS management system) for remote workers</c:v>
                </c:pt>
                <c:pt idx="2">
                  <c:v>Ergonomic and display screen equipment (PVD) risks at home</c:v>
                </c:pt>
                <c:pt idx="3">
                  <c:v>Psychosocial risks in remote work</c:v>
                </c:pt>
                <c:pt idx="4">
                  <c:v>Electrical safety and physical conditions of the home</c:v>
                </c:pt>
                <c:pt idx="5">
                  <c:v>Emergency management and first aid at home</c:v>
                </c:pt>
              </c:strCache>
            </c:strRef>
          </c:cat>
          <c:val>
            <c:numRef>
              <c:f>'P2 Key activity (checklist)'!$E$191:$E$196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8F-4535-9E20-1EAECF2289D3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(checklist)'!$D$191:$D$196</c:f>
              <c:strCache>
                <c:ptCount val="6"/>
                <c:pt idx="0">
                  <c:v>Teleworking and working from home — legal and contractual framework</c:v>
                </c:pt>
                <c:pt idx="1">
                  <c:v>Organisation of the SG-SST (OHS management system) for remote workers</c:v>
                </c:pt>
                <c:pt idx="2">
                  <c:v>Ergonomic and display screen equipment (PVD) risks at home</c:v>
                </c:pt>
                <c:pt idx="3">
                  <c:v>Psychosocial risks in remote work</c:v>
                </c:pt>
                <c:pt idx="4">
                  <c:v>Electrical safety and physical conditions of the home</c:v>
                </c:pt>
                <c:pt idx="5">
                  <c:v>Emergency management and first aid at home</c:v>
                </c:pt>
              </c:strCache>
            </c:strRef>
          </c:cat>
          <c:val>
            <c:numRef>
              <c:f>'P2 Key activity (checklist)'!$F$191:$F$196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8F-4535-9E20-1EAECF2289D3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(checklist)'!$D$191:$D$196</c:f>
              <c:strCache>
                <c:ptCount val="6"/>
                <c:pt idx="0">
                  <c:v>Teleworking and working from home — legal and contractual framework</c:v>
                </c:pt>
                <c:pt idx="1">
                  <c:v>Organisation of the SG-SST (OHS management system) for remote workers</c:v>
                </c:pt>
                <c:pt idx="2">
                  <c:v>Ergonomic and display screen equipment (PVD) risks at home</c:v>
                </c:pt>
                <c:pt idx="3">
                  <c:v>Psychosocial risks in remote work</c:v>
                </c:pt>
                <c:pt idx="4">
                  <c:v>Electrical safety and physical conditions of the home</c:v>
                </c:pt>
                <c:pt idx="5">
                  <c:v>Emergency management and first aid at home</c:v>
                </c:pt>
              </c:strCache>
            </c:strRef>
          </c:cat>
          <c:val>
            <c:numRef>
              <c:f>'P2 Key activity (checklist)'!$G$191:$G$196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28F-4535-9E20-1EAECF2289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FR-EPC · EPC – subcontractor &amp; logistics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(checklist)'!$D$197:$D$210</c:f>
              <c:strCache>
                <c:ptCount val="14"/>
                <c:pt idx="0">
                  <c:v>Storage</c:v>
                </c:pt>
                <c:pt idx="1">
                  <c:v>Subcontractor Management</c:v>
                </c:pt>
                <c:pt idx="2">
                  <c:v>Handling of heavy loads with equipment (crane, hoist, etc.)</c:v>
                </c:pt>
                <c:pt idx="3">
                  <c:v>Manual handling of loads</c:v>
                </c:pt>
                <c:pt idx="4">
                  <c:v>Personal and collective protective equipment</c:v>
                </c:pt>
                <c:pt idx="5">
                  <c:v>Work at height</c:v>
                </c:pt>
                <c:pt idx="6">
                  <c:v>Road Safety</c:v>
                </c:pt>
                <c:pt idx="7">
                  <c:v>Hot work</c:v>
                </c:pt>
                <c:pt idx="8">
                  <c:v>Falling objects</c:v>
                </c:pt>
                <c:pt idx="9">
                  <c:v>Electrical risk</c:v>
                </c:pt>
                <c:pt idx="10">
                  <c:v>Manual work (hand tools and portable power tools)</c:v>
                </c:pt>
                <c:pt idx="11">
                  <c:v>Slips, trips and falls on the same level</c:v>
                </c:pt>
                <c:pt idx="12">
                  <c:v>Electrical Lockout/Tagout</c:v>
                </c:pt>
                <c:pt idx="13">
                  <c:v>Co-activity on the worksite</c:v>
                </c:pt>
              </c:strCache>
            </c:strRef>
          </c:cat>
          <c:val>
            <c:numRef>
              <c:f>'P2 Key activity (checklist)'!$E$197:$E$210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D7-4B0A-9491-40F0C3AA7858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(checklist)'!$D$197:$D$210</c:f>
              <c:strCache>
                <c:ptCount val="14"/>
                <c:pt idx="0">
                  <c:v>Storage</c:v>
                </c:pt>
                <c:pt idx="1">
                  <c:v>Subcontractor Management</c:v>
                </c:pt>
                <c:pt idx="2">
                  <c:v>Handling of heavy loads with equipment (crane, hoist, etc.)</c:v>
                </c:pt>
                <c:pt idx="3">
                  <c:v>Manual handling of loads</c:v>
                </c:pt>
                <c:pt idx="4">
                  <c:v>Personal and collective protective equipment</c:v>
                </c:pt>
                <c:pt idx="5">
                  <c:v>Work at height</c:v>
                </c:pt>
                <c:pt idx="6">
                  <c:v>Road Safety</c:v>
                </c:pt>
                <c:pt idx="7">
                  <c:v>Hot work</c:v>
                </c:pt>
                <c:pt idx="8">
                  <c:v>Falling objects</c:v>
                </c:pt>
                <c:pt idx="9">
                  <c:v>Electrical risk</c:v>
                </c:pt>
                <c:pt idx="10">
                  <c:v>Manual work (hand tools and portable power tools)</c:v>
                </c:pt>
                <c:pt idx="11">
                  <c:v>Slips, trips and falls on the same level</c:v>
                </c:pt>
                <c:pt idx="12">
                  <c:v>Electrical Lockout/Tagout</c:v>
                </c:pt>
                <c:pt idx="13">
                  <c:v>Co-activity on the worksite</c:v>
                </c:pt>
              </c:strCache>
            </c:strRef>
          </c:cat>
          <c:val>
            <c:numRef>
              <c:f>'P2 Key activity (checklist)'!$F$197:$F$210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D7-4B0A-9491-40F0C3AA7858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(checklist)'!$D$197:$D$210</c:f>
              <c:strCache>
                <c:ptCount val="14"/>
                <c:pt idx="0">
                  <c:v>Storage</c:v>
                </c:pt>
                <c:pt idx="1">
                  <c:v>Subcontractor Management</c:v>
                </c:pt>
                <c:pt idx="2">
                  <c:v>Handling of heavy loads with equipment (crane, hoist, etc.)</c:v>
                </c:pt>
                <c:pt idx="3">
                  <c:v>Manual handling of loads</c:v>
                </c:pt>
                <c:pt idx="4">
                  <c:v>Personal and collective protective equipment</c:v>
                </c:pt>
                <c:pt idx="5">
                  <c:v>Work at height</c:v>
                </c:pt>
                <c:pt idx="6">
                  <c:v>Road Safety</c:v>
                </c:pt>
                <c:pt idx="7">
                  <c:v>Hot work</c:v>
                </c:pt>
                <c:pt idx="8">
                  <c:v>Falling objects</c:v>
                </c:pt>
                <c:pt idx="9">
                  <c:v>Electrical risk</c:v>
                </c:pt>
                <c:pt idx="10">
                  <c:v>Manual work (hand tools and portable power tools)</c:v>
                </c:pt>
                <c:pt idx="11">
                  <c:v>Slips, trips and falls on the same level</c:v>
                </c:pt>
                <c:pt idx="12">
                  <c:v>Electrical Lockout/Tagout</c:v>
                </c:pt>
                <c:pt idx="13">
                  <c:v>Co-activity on the worksite</c:v>
                </c:pt>
              </c:strCache>
            </c:strRef>
          </c:cat>
          <c:val>
            <c:numRef>
              <c:f>'P2 Key activity (checklist)'!$G$197:$G$210</c:f>
              <c:numCache>
                <c:formatCode>General</c:formatCode>
                <c:ptCount val="14"/>
                <c:pt idx="0">
                  <c:v>8</c:v>
                </c:pt>
                <c:pt idx="1">
                  <c:v>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D7-4B0A-9491-40F0C3AA78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FR-OFF · Villeurbanne Office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(checklist)'!$D$211:$D$214</c:f>
              <c:strCache>
                <c:ptCount val="4"/>
                <c:pt idx="0">
                  <c:v>Psychosocial Risks (RPS)</c:v>
                </c:pt>
                <c:pt idx="1">
                  <c:v>Fire risk</c:v>
                </c:pt>
                <c:pt idx="2">
                  <c:v>Emergency plan</c:v>
                </c:pt>
                <c:pt idx="3">
                  <c:v>Screen management</c:v>
                </c:pt>
              </c:strCache>
            </c:strRef>
          </c:cat>
          <c:val>
            <c:numRef>
              <c:f>'P2 Key activity (checklist)'!$E$211:$E$214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2C-4CF9-B87C-57928EC241F1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(checklist)'!$D$211:$D$214</c:f>
              <c:strCache>
                <c:ptCount val="4"/>
                <c:pt idx="0">
                  <c:v>Psychosocial Risks (RPS)</c:v>
                </c:pt>
                <c:pt idx="1">
                  <c:v>Fire risk</c:v>
                </c:pt>
                <c:pt idx="2">
                  <c:v>Emergency plan</c:v>
                </c:pt>
                <c:pt idx="3">
                  <c:v>Screen management</c:v>
                </c:pt>
              </c:strCache>
            </c:strRef>
          </c:cat>
          <c:val>
            <c:numRef>
              <c:f>'P2 Key activity (checklist)'!$F$211:$F$214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2C-4CF9-B87C-57928EC241F1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(checklist)'!$D$211:$D$214</c:f>
              <c:strCache>
                <c:ptCount val="4"/>
                <c:pt idx="0">
                  <c:v>Psychosocial Risks (RPS)</c:v>
                </c:pt>
                <c:pt idx="1">
                  <c:v>Fire risk</c:v>
                </c:pt>
                <c:pt idx="2">
                  <c:v>Emergency plan</c:v>
                </c:pt>
                <c:pt idx="3">
                  <c:v>Screen management</c:v>
                </c:pt>
              </c:strCache>
            </c:strRef>
          </c:cat>
          <c:val>
            <c:numRef>
              <c:f>'P2 Key activity (checklist)'!$G$211:$G$214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2C-4CF9-B87C-57928EC241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GR-ATH · Athens Office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(checklist)'!$D$215:$D$222</c:f>
              <c:strCache>
                <c:ptCount val="8"/>
                <c:pt idx="0">
                  <c:v>Electrical Installation &amp; Specific Risks</c:v>
                </c:pt>
                <c:pt idx="1">
                  <c:v>Emergency Management, Fire Safety &amp; First Aid</c:v>
                </c:pt>
                <c:pt idx="2">
                  <c:v>Ergonomics &amp; Working Conditions</c:v>
                </c:pt>
                <c:pt idx="3">
                  <c:v>Risk Assessment &amp; OSH Organisation</c:v>
                </c:pt>
                <c:pt idx="4">
                  <c:v>Visitors &amp; External Contractors</c:v>
                </c:pt>
                <c:pt idx="5">
                  <c:v>Housekeeping, Welfare &amp; Facilities</c:v>
                </c:pt>
                <c:pt idx="6">
                  <c:v>Occupational Physician &amp; Health Surveillance</c:v>
                </c:pt>
                <c:pt idx="7">
                  <c:v>Psychosocial Risks &amp; Telework</c:v>
                </c:pt>
              </c:strCache>
            </c:strRef>
          </c:cat>
          <c:val>
            <c:numRef>
              <c:f>'P2 Key activity (checklist)'!$E$215:$E$222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90-462C-969B-84D526B17DA7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(checklist)'!$D$215:$D$222</c:f>
              <c:strCache>
                <c:ptCount val="8"/>
                <c:pt idx="0">
                  <c:v>Electrical Installation &amp; Specific Risks</c:v>
                </c:pt>
                <c:pt idx="1">
                  <c:v>Emergency Management, Fire Safety &amp; First Aid</c:v>
                </c:pt>
                <c:pt idx="2">
                  <c:v>Ergonomics &amp; Working Conditions</c:v>
                </c:pt>
                <c:pt idx="3">
                  <c:v>Risk Assessment &amp; OSH Organisation</c:v>
                </c:pt>
                <c:pt idx="4">
                  <c:v>Visitors &amp; External Contractors</c:v>
                </c:pt>
                <c:pt idx="5">
                  <c:v>Housekeeping, Welfare &amp; Facilities</c:v>
                </c:pt>
                <c:pt idx="6">
                  <c:v>Occupational Physician &amp; Health Surveillance</c:v>
                </c:pt>
                <c:pt idx="7">
                  <c:v>Psychosocial Risks &amp; Telework</c:v>
                </c:pt>
              </c:strCache>
            </c:strRef>
          </c:cat>
          <c:val>
            <c:numRef>
              <c:f>'P2 Key activity (checklist)'!$F$215:$F$222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90-462C-969B-84D526B17DA7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(checklist)'!$D$215:$D$222</c:f>
              <c:strCache>
                <c:ptCount val="8"/>
                <c:pt idx="0">
                  <c:v>Electrical Installation &amp; Specific Risks</c:v>
                </c:pt>
                <c:pt idx="1">
                  <c:v>Emergency Management, Fire Safety &amp; First Aid</c:v>
                </c:pt>
                <c:pt idx="2">
                  <c:v>Ergonomics &amp; Working Conditions</c:v>
                </c:pt>
                <c:pt idx="3">
                  <c:v>Risk Assessment &amp; OSH Organisation</c:v>
                </c:pt>
                <c:pt idx="4">
                  <c:v>Visitors &amp; External Contractors</c:v>
                </c:pt>
                <c:pt idx="5">
                  <c:v>Housekeeping, Welfare &amp; Facilities</c:v>
                </c:pt>
                <c:pt idx="6">
                  <c:v>Occupational Physician &amp; Health Surveillance</c:v>
                </c:pt>
                <c:pt idx="7">
                  <c:v>Psychosocial Risks &amp; Telework</c:v>
                </c:pt>
              </c:strCache>
            </c:strRef>
          </c:cat>
          <c:val>
            <c:numRef>
              <c:f>'P2 Key activity (checklist)'!$G$215:$G$222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B90-462C-969B-84D526B17D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IT-BUC · Buccinasco Office (HQ)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Compliant</c:v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(checklist)'!$D$223:$D$233</c:f>
              <c:strCache>
                <c:ptCount val="11"/>
                <c:pt idx="0">
                  <c:v>Building fitness for use and occupancy permit</c:v>
                </c:pt>
                <c:pt idx="1">
                  <c:v>Technical installations — certifications and compliance</c:v>
                </c:pt>
                <c:pt idx="2">
                  <c:v>Risk assessment</c:v>
                </c:pt>
                <c:pt idx="3">
                  <c:v>Ergonomics and display screen equipment (VDT)</c:v>
                </c:pt>
                <c:pt idx="4">
                  <c:v>Electrical safety</c:v>
                </c:pt>
                <c:pt idx="5">
                  <c:v>Safety signage</c:v>
                </c:pt>
                <c:pt idx="6">
                  <c:v>Emergency management and fire prevention</c:v>
                </c:pt>
                <c:pt idx="7">
                  <c:v>OHS organisation</c:v>
                </c:pt>
                <c:pt idx="8">
                  <c:v>Training and information</c:v>
                </c:pt>
                <c:pt idx="9">
                  <c:v>Workplaces, smart working and data protection</c:v>
                </c:pt>
                <c:pt idx="10">
                  <c:v>Monitoring, PPE and recording obligations</c:v>
                </c:pt>
              </c:strCache>
            </c:strRef>
          </c:cat>
          <c:val>
            <c:numRef>
              <c:f>'P2 Key activity (checklist)'!$E$223:$E$233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B0-4591-A7C3-BF0AB0AFB7CC}"/>
            </c:ext>
          </c:extLst>
        </c:ser>
        <c:ser>
          <c:idx val="1"/>
          <c:order val="1"/>
          <c:tx>
            <c:v>Partially compliant</c:v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(checklist)'!$D$223:$D$233</c:f>
              <c:strCache>
                <c:ptCount val="11"/>
                <c:pt idx="0">
                  <c:v>Building fitness for use and occupancy permit</c:v>
                </c:pt>
                <c:pt idx="1">
                  <c:v>Technical installations — certifications and compliance</c:v>
                </c:pt>
                <c:pt idx="2">
                  <c:v>Risk assessment</c:v>
                </c:pt>
                <c:pt idx="3">
                  <c:v>Ergonomics and display screen equipment (VDT)</c:v>
                </c:pt>
                <c:pt idx="4">
                  <c:v>Electrical safety</c:v>
                </c:pt>
                <c:pt idx="5">
                  <c:v>Safety signage</c:v>
                </c:pt>
                <c:pt idx="6">
                  <c:v>Emergency management and fire prevention</c:v>
                </c:pt>
                <c:pt idx="7">
                  <c:v>OHS organisation</c:v>
                </c:pt>
                <c:pt idx="8">
                  <c:v>Training and information</c:v>
                </c:pt>
                <c:pt idx="9">
                  <c:v>Workplaces, smart working and data protection</c:v>
                </c:pt>
                <c:pt idx="10">
                  <c:v>Monitoring, PPE and recording obligations</c:v>
                </c:pt>
              </c:strCache>
            </c:strRef>
          </c:cat>
          <c:val>
            <c:numRef>
              <c:f>'P2 Key activity (checklist)'!$F$223:$F$233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B0-4591-A7C3-BF0AB0AFB7CC}"/>
            </c:ext>
          </c:extLst>
        </c:ser>
        <c:ser>
          <c:idx val="2"/>
          <c:order val="2"/>
          <c:tx>
            <c:v>Non-compliant</c:v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Key activity (checklist)'!$D$223:$D$233</c:f>
              <c:strCache>
                <c:ptCount val="11"/>
                <c:pt idx="0">
                  <c:v>Building fitness for use and occupancy permit</c:v>
                </c:pt>
                <c:pt idx="1">
                  <c:v>Technical installations — certifications and compliance</c:v>
                </c:pt>
                <c:pt idx="2">
                  <c:v>Risk assessment</c:v>
                </c:pt>
                <c:pt idx="3">
                  <c:v>Ergonomics and display screen equipment (VDT)</c:v>
                </c:pt>
                <c:pt idx="4">
                  <c:v>Electrical safety</c:v>
                </c:pt>
                <c:pt idx="5">
                  <c:v>Safety signage</c:v>
                </c:pt>
                <c:pt idx="6">
                  <c:v>Emergency management and fire prevention</c:v>
                </c:pt>
                <c:pt idx="7">
                  <c:v>OHS organisation</c:v>
                </c:pt>
                <c:pt idx="8">
                  <c:v>Training and information</c:v>
                </c:pt>
                <c:pt idx="9">
                  <c:v>Workplaces, smart working and data protection</c:v>
                </c:pt>
                <c:pt idx="10">
                  <c:v>Monitoring, PPE and recording obligations</c:v>
                </c:pt>
              </c:strCache>
            </c:strRef>
          </c:cat>
          <c:val>
            <c:numRef>
              <c:f>'P2 Key activity (checklist)'!$G$223:$G$233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B0-4591-A7C3-BF0AB0AFB7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Report compliance dots per site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'P2 Report dots'!$C$4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Report dots'!$B$5:$B$27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Report dots'!$C$5:$C$27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  <c:pt idx="13">
                  <c:v>6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06-4BEE-BF70-693E3608096F}"/>
            </c:ext>
          </c:extLst>
        </c:ser>
        <c:ser>
          <c:idx val="1"/>
          <c:order val="1"/>
          <c:tx>
            <c:strRef>
              <c:f>'P2 Report dots'!$D$4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Report dots'!$B$5:$B$27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Report dots'!$D$5:$D$27</c:f>
              <c:numCache>
                <c:formatCode>General</c:formatCode>
                <c:ptCount val="23"/>
                <c:pt idx="0">
                  <c:v>7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8</c:v>
                </c:pt>
                <c:pt idx="9">
                  <c:v>10</c:v>
                </c:pt>
                <c:pt idx="10">
                  <c:v>6</c:v>
                </c:pt>
                <c:pt idx="11">
                  <c:v>4</c:v>
                </c:pt>
                <c:pt idx="12">
                  <c:v>8</c:v>
                </c:pt>
                <c:pt idx="13">
                  <c:v>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8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06-4BEE-BF70-693E3608096F}"/>
            </c:ext>
          </c:extLst>
        </c:ser>
        <c:ser>
          <c:idx val="2"/>
          <c:order val="2"/>
          <c:tx>
            <c:strRef>
              <c:f>'P2 Report dots'!$E$4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Report dots'!$B$5:$B$27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Report dots'!$E$5:$E$27</c:f>
              <c:numCache>
                <c:formatCode>General</c:formatCode>
                <c:ptCount val="23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11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15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D06-4BEE-BF70-693E3608096F}"/>
            </c:ext>
          </c:extLst>
        </c:ser>
        <c:ser>
          <c:idx val="3"/>
          <c:order val="3"/>
          <c:tx>
            <c:strRef>
              <c:f>'P2 Report dots'!$F$4</c:f>
              <c:strCache>
                <c:ptCount val="1"/>
                <c:pt idx="0">
                  <c:v>Not assessed</c:v>
                </c:pt>
              </c:strCache>
            </c:strRef>
          </c:tx>
          <c:spPr>
            <a:solidFill>
              <a:srgbClr val="D9DCE2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'P2 Report dots'!$B$5:$B$27</c:f>
              <c:strCache>
                <c:ptCount val="23"/>
                <c:pt idx="0">
                  <c:v>Vitoria Factory</c:v>
                </c:pt>
                <c:pt idx="1">
                  <c:v>Meco Warehouse</c:v>
                </c:pt>
                <c:pt idx="2">
                  <c:v>Sevilla Warehouse</c:v>
                </c:pt>
                <c:pt idx="3">
                  <c:v>Valencia Warehouse</c:v>
                </c:pt>
                <c:pt idx="4">
                  <c:v>Burgos Warehouse</c:v>
                </c:pt>
                <c:pt idx="5">
                  <c:v>Andoain Warehouse</c:v>
                </c:pt>
                <c:pt idx="6">
                  <c:v>Madrid Office</c:v>
                </c:pt>
                <c:pt idx="7">
                  <c:v>A Coruña – Repsol in-house warehouse</c:v>
                </c:pt>
                <c:pt idx="8">
                  <c:v>Aveiro Office</c:v>
                </c:pt>
                <c:pt idx="9">
                  <c:v>Monterrey Warehouse (owned)</c:v>
                </c:pt>
                <c:pt idx="10">
                  <c:v>CDMX Office</c:v>
                </c:pt>
                <c:pt idx="11">
                  <c:v>EPC INOAC</c:v>
                </c:pt>
                <c:pt idx="12">
                  <c:v>Iberdrola in-house warehouse</c:v>
                </c:pt>
                <c:pt idx="13">
                  <c:v>Braskem in-house warehouse</c:v>
                </c:pt>
                <c:pt idx="14">
                  <c:v>Altamira – Quantum warehouse &amp; services</c:v>
                </c:pt>
                <c:pt idx="15">
                  <c:v>Schneider general services (Monterrey)</c:v>
                </c:pt>
                <c:pt idx="16">
                  <c:v>Chetumal general services</c:v>
                </c:pt>
                <c:pt idx="17">
                  <c:v>EPC Solar project</c:v>
                </c:pt>
                <c:pt idx="18">
                  <c:v>Home-office (teleworking)</c:v>
                </c:pt>
                <c:pt idx="19">
                  <c:v>EPC – subcontractor &amp; logistics</c:v>
                </c:pt>
                <c:pt idx="20">
                  <c:v>Villeurbanne Office</c:v>
                </c:pt>
                <c:pt idx="21">
                  <c:v>Athens Office</c:v>
                </c:pt>
                <c:pt idx="22">
                  <c:v>Buccinasco Office (HQ)</c:v>
                </c:pt>
              </c:strCache>
            </c:strRef>
          </c:cat>
          <c:val>
            <c:numRef>
              <c:f>'P2 Report dots'!$F$5:$F$27</c:f>
              <c:numCache>
                <c:formatCode>General</c:formatCode>
                <c:ptCount val="2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D06-4BEE-BF70-693E360809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 · Office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business'!$B$6:$B$8</c:f>
              <c:numCache>
                <c:formatCode>General</c:formatCode>
                <c:ptCount val="3"/>
                <c:pt idx="0">
                  <c:v>12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28-4A22-BE4C-FB8F63E2DFF1}"/>
            </c:ext>
          </c:extLst>
        </c:ser>
        <c:ser>
          <c:idx val="1"/>
          <c:order val="1"/>
          <c:tx>
            <c:strRef>
              <c:f>'P3 Cluster business'!$C$5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business'!$C$6:$C$8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628-4A22-BE4C-FB8F63E2DFF1}"/>
            </c:ext>
          </c:extLst>
        </c:ser>
        <c:ser>
          <c:idx val="2"/>
          <c:order val="2"/>
          <c:tx>
            <c:strRef>
              <c:f>'P3 Cluster business'!$D$5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business'!$D$6:$D$8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628-4A22-BE4C-FB8F63E2D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 · Factory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business'!$B$21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business'!$B$22:$B$24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2F-4162-8BE0-340409925A25}"/>
            </c:ext>
          </c:extLst>
        </c:ser>
        <c:ser>
          <c:idx val="1"/>
          <c:order val="1"/>
          <c:tx>
            <c:strRef>
              <c:f>'P3 Cluster business'!$C$21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business'!$C$22:$C$24</c:f>
              <c:numCache>
                <c:formatCode>General</c:formatCode>
                <c:ptCount val="3"/>
                <c:pt idx="0">
                  <c:v>15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2F-4162-8BE0-340409925A25}"/>
            </c:ext>
          </c:extLst>
        </c:ser>
        <c:ser>
          <c:idx val="2"/>
          <c:order val="2"/>
          <c:tx>
            <c:strRef>
              <c:f>'P3 Cluster business'!$D$21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business'!$D$22:$D$24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42F-4162-8BE0-340409925A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 · Warehouse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business'!$B$37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business'!$B$38:$B$40</c:f>
              <c:numCache>
                <c:formatCode>General</c:formatCode>
                <c:ptCount val="3"/>
                <c:pt idx="0">
                  <c:v>62</c:v>
                </c:pt>
                <c:pt idx="1">
                  <c:v>23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B4-4F22-B473-E61C1FC65C03}"/>
            </c:ext>
          </c:extLst>
        </c:ser>
        <c:ser>
          <c:idx val="1"/>
          <c:order val="1"/>
          <c:tx>
            <c:strRef>
              <c:f>'P3 Cluster business'!$C$37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business'!$C$38:$C$40</c:f>
              <c:numCache>
                <c:formatCode>General</c:formatCode>
                <c:ptCount val="3"/>
                <c:pt idx="0">
                  <c:v>35</c:v>
                </c:pt>
                <c:pt idx="1">
                  <c:v>64</c:v>
                </c:pt>
                <c:pt idx="2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8B4-4F22-B473-E61C1FC65C03}"/>
            </c:ext>
          </c:extLst>
        </c:ser>
        <c:ser>
          <c:idx val="2"/>
          <c:order val="2"/>
          <c:tx>
            <c:strRef>
              <c:f>'P3 Cluster business'!$D$37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business'!$D$38:$D$40</c:f>
              <c:numCache>
                <c:formatCode>General</c:formatCode>
                <c:ptCount val="3"/>
                <c:pt idx="0">
                  <c:v>33</c:v>
                </c:pt>
                <c:pt idx="1">
                  <c:v>30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8B4-4F22-B473-E61C1FC65C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 · Services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business'!$B$53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business'!$B$54:$B$56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38-4E0F-90CC-DD257186D35F}"/>
            </c:ext>
          </c:extLst>
        </c:ser>
        <c:ser>
          <c:idx val="1"/>
          <c:order val="1"/>
          <c:tx>
            <c:strRef>
              <c:f>'P3 Cluster business'!$C$53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business'!$C$54:$C$56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38-4E0F-90CC-DD257186D35F}"/>
            </c:ext>
          </c:extLst>
        </c:ser>
        <c:ser>
          <c:idx val="2"/>
          <c:order val="2"/>
          <c:tx>
            <c:strRef>
              <c:f>'P3 Cluster business'!$D$53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business'!$D$54:$D$56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B38-4E0F-90CC-DD257186D3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Mexico &amp; Colombia · Office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business'!$B$69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business'!$B$70:$B$72</c:f>
              <c:numCache>
                <c:formatCode>General</c:formatCode>
                <c:ptCount val="3"/>
                <c:pt idx="0">
                  <c:v>25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16-4790-9F7C-D017E472B78D}"/>
            </c:ext>
          </c:extLst>
        </c:ser>
        <c:ser>
          <c:idx val="1"/>
          <c:order val="1"/>
          <c:tx>
            <c:strRef>
              <c:f>'P3 Cluster business'!$C$69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business'!$C$70:$C$72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16-4790-9F7C-D017E472B78D}"/>
            </c:ext>
          </c:extLst>
        </c:ser>
        <c:ser>
          <c:idx val="2"/>
          <c:order val="2"/>
          <c:tx>
            <c:strRef>
              <c:f>'P3 Cluster business'!$D$69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business'!$A$70:$A$72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business'!$D$70:$D$72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16-4790-9F7C-D017E472B7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Mexico &amp; Colombia · EPC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business'!$B$85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business'!$B$86:$B$88</c:f>
              <c:numCache>
                <c:formatCode>General</c:formatCode>
                <c:ptCount val="3"/>
                <c:pt idx="0">
                  <c:v>19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41-411D-8DEE-1925E524AFBF}"/>
            </c:ext>
          </c:extLst>
        </c:ser>
        <c:ser>
          <c:idx val="1"/>
          <c:order val="1"/>
          <c:tx>
            <c:strRef>
              <c:f>'P3 Cluster business'!$C$85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business'!$C$86:$C$88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41-411D-8DEE-1925E524AFBF}"/>
            </c:ext>
          </c:extLst>
        </c:ser>
        <c:ser>
          <c:idx val="2"/>
          <c:order val="2"/>
          <c:tx>
            <c:strRef>
              <c:f>'P3 Cluster business'!$D$85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business'!$A$86:$A$88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business'!$D$86:$D$88</c:f>
              <c:numCache>
                <c:formatCode>General</c:formatCode>
                <c:ptCount val="3"/>
                <c:pt idx="0">
                  <c:v>13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E41-411D-8DEE-1925E524AF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Mexico &amp; Colombia · Warehouse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business'!$B$101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business'!$B$102:$B$104</c:f>
              <c:numCache>
                <c:formatCode>General</c:formatCode>
                <c:ptCount val="3"/>
                <c:pt idx="0">
                  <c:v>23</c:v>
                </c:pt>
                <c:pt idx="1">
                  <c:v>22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EA-41A7-8427-989053D52D82}"/>
            </c:ext>
          </c:extLst>
        </c:ser>
        <c:ser>
          <c:idx val="1"/>
          <c:order val="1"/>
          <c:tx>
            <c:strRef>
              <c:f>'P3 Cluster business'!$C$101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business'!$C$102:$C$104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EA-41A7-8427-989053D52D82}"/>
            </c:ext>
          </c:extLst>
        </c:ser>
        <c:ser>
          <c:idx val="2"/>
          <c:order val="2"/>
          <c:tx>
            <c:strRef>
              <c:f>'P3 Cluster business'!$D$101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business'!$A$102:$A$104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business'!$D$102:$D$104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EA-41A7-8427-989053D52D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Mexico &amp; Colombia · Services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business'!$B$117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business'!$B$118:$B$120</c:f>
              <c:numCache>
                <c:formatCode>General</c:formatCode>
                <c:ptCount val="3"/>
                <c:pt idx="0">
                  <c:v>16</c:v>
                </c:pt>
                <c:pt idx="1">
                  <c:v>17</c:v>
                </c:pt>
                <c:pt idx="2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8D-4B3D-A5ED-C957B623C0CE}"/>
            </c:ext>
          </c:extLst>
        </c:ser>
        <c:ser>
          <c:idx val="1"/>
          <c:order val="1"/>
          <c:tx>
            <c:strRef>
              <c:f>'P3 Cluster business'!$C$117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business'!$C$118:$C$120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8D-4B3D-A5ED-C957B623C0CE}"/>
            </c:ext>
          </c:extLst>
        </c:ser>
        <c:ser>
          <c:idx val="2"/>
          <c:order val="2"/>
          <c:tx>
            <c:strRef>
              <c:f>'P3 Cluster business'!$D$117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business'!$A$118:$A$120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business'!$D$118:$D$120</c:f>
              <c:numCache>
                <c:formatCode>General</c:formatCode>
                <c:ptCount val="3"/>
                <c:pt idx="0">
                  <c:v>13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8D-4B3D-A5ED-C957B623C0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France · Office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business'!$B$133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business'!$B$134:$B$136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C8-49B7-A8D8-70A67501D04D}"/>
            </c:ext>
          </c:extLst>
        </c:ser>
        <c:ser>
          <c:idx val="1"/>
          <c:order val="1"/>
          <c:tx>
            <c:strRef>
              <c:f>'P3 Cluster business'!$C$133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business'!$C$134:$C$136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C8-49B7-A8D8-70A67501D04D}"/>
            </c:ext>
          </c:extLst>
        </c:ser>
        <c:ser>
          <c:idx val="2"/>
          <c:order val="2"/>
          <c:tx>
            <c:strRef>
              <c:f>'P3 Cluster business'!$D$133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business'!$A$134:$A$136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business'!$D$134:$D$136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C8-49B7-A8D8-70A67501D0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France · EPC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business'!$B$149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business'!$B$150:$B$152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D8-46E9-962E-C59EA226A93B}"/>
            </c:ext>
          </c:extLst>
        </c:ser>
        <c:ser>
          <c:idx val="1"/>
          <c:order val="1"/>
          <c:tx>
            <c:strRef>
              <c:f>'P3 Cluster business'!$C$149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business'!$C$150:$C$152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D8-46E9-962E-C59EA226A93B}"/>
            </c:ext>
          </c:extLst>
        </c:ser>
        <c:ser>
          <c:idx val="2"/>
          <c:order val="2"/>
          <c:tx>
            <c:strRef>
              <c:f>'P3 Cluster business'!$D$149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business'!$A$150:$A$152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business'!$D$150:$D$152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D8-46E9-962E-C59EA226A9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Greece &amp; Italy · Office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'P3 Cluster business'!$B$165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business'!$B$166:$B$168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3D-451F-BDD0-E9291B9D0F8F}"/>
            </c:ext>
          </c:extLst>
        </c:ser>
        <c:ser>
          <c:idx val="1"/>
          <c:order val="1"/>
          <c:tx>
            <c:strRef>
              <c:f>'P3 Cluster business'!$C$165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business'!$C$166:$C$168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3D-451F-BDD0-E9291B9D0F8F}"/>
            </c:ext>
          </c:extLst>
        </c:ser>
        <c:ser>
          <c:idx val="2"/>
          <c:order val="2"/>
          <c:tx>
            <c:strRef>
              <c:f>'P3 Cluster business'!$D$165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'P3 Cluster business'!$A$166:$A$168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'P3 Cluster business'!$D$166:$D$168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3D-451F-BDD0-E9291B9D0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Compliance mix by type of business (100%)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'P3 Cluster mix'!$C$4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'P3 Cluster mix'!$A$5:$B$15</c:f>
              <c:multiLvlStrCache>
                <c:ptCount val="11"/>
                <c:lvl>
                  <c:pt idx="0">
                    <c:v>Office</c:v>
                  </c:pt>
                  <c:pt idx="1">
                    <c:v>Factory</c:v>
                  </c:pt>
                  <c:pt idx="2">
                    <c:v>Warehouse</c:v>
                  </c:pt>
                  <c:pt idx="3">
                    <c:v>Services</c:v>
                  </c:pt>
                  <c:pt idx="4">
                    <c:v>Office</c:v>
                  </c:pt>
                  <c:pt idx="5">
                    <c:v>EPC</c:v>
                  </c:pt>
                  <c:pt idx="6">
                    <c:v>Warehouse</c:v>
                  </c:pt>
                  <c:pt idx="7">
                    <c:v>Services</c:v>
                  </c:pt>
                  <c:pt idx="8">
                    <c:v>Office</c:v>
                  </c:pt>
                  <c:pt idx="9">
                    <c:v>EPC</c:v>
                  </c:pt>
                  <c:pt idx="10">
                    <c:v>Office</c:v>
                  </c:pt>
                </c:lvl>
                <c:lvl>
                  <c:pt idx="0">
                    <c:v>Spain &amp; Portugal</c:v>
                  </c:pt>
                  <c:pt idx="1">
                    <c:v>Spain &amp; Portugal</c:v>
                  </c:pt>
                  <c:pt idx="2">
                    <c:v>Spain &amp; Portugal</c:v>
                  </c:pt>
                  <c:pt idx="3">
                    <c:v>Spain &amp; Portugal</c:v>
                  </c:pt>
                  <c:pt idx="4">
                    <c:v>Mexico &amp; Colombia</c:v>
                  </c:pt>
                  <c:pt idx="5">
                    <c:v>Mexico &amp; Colombia</c:v>
                  </c:pt>
                  <c:pt idx="6">
                    <c:v>Mexico &amp; Colombia</c:v>
                  </c:pt>
                  <c:pt idx="7">
                    <c:v>Mexico &amp; Colombia</c:v>
                  </c:pt>
                  <c:pt idx="8">
                    <c:v>France</c:v>
                  </c:pt>
                  <c:pt idx="9">
                    <c:v>France</c:v>
                  </c:pt>
                  <c:pt idx="10">
                    <c:v>Greece &amp; Italy</c:v>
                  </c:pt>
                </c:lvl>
              </c:multiLvlStrCache>
            </c:multiLvlStrRef>
          </c:cat>
          <c:val>
            <c:numRef>
              <c:f>'P3 Cluster mix'!$C$5:$C$15</c:f>
              <c:numCache>
                <c:formatCode>General</c:formatCode>
                <c:ptCount val="11"/>
                <c:pt idx="0">
                  <c:v>28</c:v>
                </c:pt>
                <c:pt idx="1">
                  <c:v>3</c:v>
                </c:pt>
                <c:pt idx="2">
                  <c:v>86</c:v>
                </c:pt>
                <c:pt idx="3">
                  <c:v>10</c:v>
                </c:pt>
                <c:pt idx="4">
                  <c:v>40</c:v>
                </c:pt>
                <c:pt idx="5">
                  <c:v>38</c:v>
                </c:pt>
                <c:pt idx="6">
                  <c:v>53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75-4E1B-8DED-2CAB50591C27}"/>
            </c:ext>
          </c:extLst>
        </c:ser>
        <c:ser>
          <c:idx val="1"/>
          <c:order val="1"/>
          <c:tx>
            <c:strRef>
              <c:f>'P3 Cluster mix'!$D$4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'P3 Cluster mix'!$A$5:$B$15</c:f>
              <c:multiLvlStrCache>
                <c:ptCount val="11"/>
                <c:lvl>
                  <c:pt idx="0">
                    <c:v>Office</c:v>
                  </c:pt>
                  <c:pt idx="1">
                    <c:v>Factory</c:v>
                  </c:pt>
                  <c:pt idx="2">
                    <c:v>Warehouse</c:v>
                  </c:pt>
                  <c:pt idx="3">
                    <c:v>Services</c:v>
                  </c:pt>
                  <c:pt idx="4">
                    <c:v>Office</c:v>
                  </c:pt>
                  <c:pt idx="5">
                    <c:v>EPC</c:v>
                  </c:pt>
                  <c:pt idx="6">
                    <c:v>Warehouse</c:v>
                  </c:pt>
                  <c:pt idx="7">
                    <c:v>Services</c:v>
                  </c:pt>
                  <c:pt idx="8">
                    <c:v>Office</c:v>
                  </c:pt>
                  <c:pt idx="9">
                    <c:v>EPC</c:v>
                  </c:pt>
                  <c:pt idx="10">
                    <c:v>Office</c:v>
                  </c:pt>
                </c:lvl>
                <c:lvl>
                  <c:pt idx="0">
                    <c:v>Spain &amp; Portugal</c:v>
                  </c:pt>
                  <c:pt idx="1">
                    <c:v>Spain &amp; Portugal</c:v>
                  </c:pt>
                  <c:pt idx="2">
                    <c:v>Spain &amp; Portugal</c:v>
                  </c:pt>
                  <c:pt idx="3">
                    <c:v>Spain &amp; Portugal</c:v>
                  </c:pt>
                  <c:pt idx="4">
                    <c:v>Mexico &amp; Colombia</c:v>
                  </c:pt>
                  <c:pt idx="5">
                    <c:v>Mexico &amp; Colombia</c:v>
                  </c:pt>
                  <c:pt idx="6">
                    <c:v>Mexico &amp; Colombia</c:v>
                  </c:pt>
                  <c:pt idx="7">
                    <c:v>Mexico &amp; Colombia</c:v>
                  </c:pt>
                  <c:pt idx="8">
                    <c:v>France</c:v>
                  </c:pt>
                  <c:pt idx="9">
                    <c:v>France</c:v>
                  </c:pt>
                  <c:pt idx="10">
                    <c:v>Greece &amp; Italy</c:v>
                  </c:pt>
                </c:lvl>
              </c:multiLvlStrCache>
            </c:multiLvlStrRef>
          </c:cat>
          <c:val>
            <c:numRef>
              <c:f>'P3 Cluster mix'!$D$5:$D$15</c:f>
              <c:numCache>
                <c:formatCode>General</c:formatCode>
                <c:ptCount val="11"/>
                <c:pt idx="0">
                  <c:v>24</c:v>
                </c:pt>
                <c:pt idx="1">
                  <c:v>32</c:v>
                </c:pt>
                <c:pt idx="2">
                  <c:v>121</c:v>
                </c:pt>
                <c:pt idx="3">
                  <c:v>1</c:v>
                </c:pt>
                <c:pt idx="4">
                  <c:v>9</c:v>
                </c:pt>
                <c:pt idx="5">
                  <c:v>8</c:v>
                </c:pt>
                <c:pt idx="6">
                  <c:v>13</c:v>
                </c:pt>
                <c:pt idx="7">
                  <c:v>17</c:v>
                </c:pt>
                <c:pt idx="8">
                  <c:v>0</c:v>
                </c:pt>
                <c:pt idx="9">
                  <c:v>1</c:v>
                </c:pt>
                <c:pt idx="10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75-4E1B-8DED-2CAB50591C27}"/>
            </c:ext>
          </c:extLst>
        </c:ser>
        <c:ser>
          <c:idx val="2"/>
          <c:order val="2"/>
          <c:tx>
            <c:strRef>
              <c:f>'P3 Cluster mix'!$E$4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'P3 Cluster mix'!$A$5:$B$15</c:f>
              <c:multiLvlStrCache>
                <c:ptCount val="11"/>
                <c:lvl>
                  <c:pt idx="0">
                    <c:v>Office</c:v>
                  </c:pt>
                  <c:pt idx="1">
                    <c:v>Factory</c:v>
                  </c:pt>
                  <c:pt idx="2">
                    <c:v>Warehouse</c:v>
                  </c:pt>
                  <c:pt idx="3">
                    <c:v>Services</c:v>
                  </c:pt>
                  <c:pt idx="4">
                    <c:v>Office</c:v>
                  </c:pt>
                  <c:pt idx="5">
                    <c:v>EPC</c:v>
                  </c:pt>
                  <c:pt idx="6">
                    <c:v>Warehouse</c:v>
                  </c:pt>
                  <c:pt idx="7">
                    <c:v>Services</c:v>
                  </c:pt>
                  <c:pt idx="8">
                    <c:v>Office</c:v>
                  </c:pt>
                  <c:pt idx="9">
                    <c:v>EPC</c:v>
                  </c:pt>
                  <c:pt idx="10">
                    <c:v>Office</c:v>
                  </c:pt>
                </c:lvl>
                <c:lvl>
                  <c:pt idx="0">
                    <c:v>Spain &amp; Portugal</c:v>
                  </c:pt>
                  <c:pt idx="1">
                    <c:v>Spain &amp; Portugal</c:v>
                  </c:pt>
                  <c:pt idx="2">
                    <c:v>Spain &amp; Portugal</c:v>
                  </c:pt>
                  <c:pt idx="3">
                    <c:v>Spain &amp; Portugal</c:v>
                  </c:pt>
                  <c:pt idx="4">
                    <c:v>Mexico &amp; Colombia</c:v>
                  </c:pt>
                  <c:pt idx="5">
                    <c:v>Mexico &amp; Colombia</c:v>
                  </c:pt>
                  <c:pt idx="6">
                    <c:v>Mexico &amp; Colombia</c:v>
                  </c:pt>
                  <c:pt idx="7">
                    <c:v>Mexico &amp; Colombia</c:v>
                  </c:pt>
                  <c:pt idx="8">
                    <c:v>France</c:v>
                  </c:pt>
                  <c:pt idx="9">
                    <c:v>France</c:v>
                  </c:pt>
                  <c:pt idx="10">
                    <c:v>Greece &amp; Italy</c:v>
                  </c:pt>
                </c:lvl>
              </c:multiLvlStrCache>
            </c:multiLvlStrRef>
          </c:cat>
          <c:val>
            <c:numRef>
              <c:f>'P3 Cluster mix'!$E$5:$E$15</c:f>
              <c:numCache>
                <c:formatCode>General</c:formatCode>
                <c:ptCount val="11"/>
                <c:pt idx="0">
                  <c:v>13</c:v>
                </c:pt>
                <c:pt idx="1">
                  <c:v>11</c:v>
                </c:pt>
                <c:pt idx="2">
                  <c:v>70</c:v>
                </c:pt>
                <c:pt idx="3">
                  <c:v>0</c:v>
                </c:pt>
                <c:pt idx="4">
                  <c:v>15</c:v>
                </c:pt>
                <c:pt idx="5">
                  <c:v>29</c:v>
                </c:pt>
                <c:pt idx="6">
                  <c:v>6</c:v>
                </c:pt>
                <c:pt idx="7">
                  <c:v>26</c:v>
                </c:pt>
                <c:pt idx="8">
                  <c:v>18</c:v>
                </c:pt>
                <c:pt idx="9">
                  <c:v>12</c:v>
                </c:pt>
                <c:pt idx="10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75-4E1B-8DED-2CAB50591C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Share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High criticality by type of business and cluster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Global high'!$D$4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Global high'!$I$5:$I$15</c:f>
              <c:strCache>
                <c:ptCount val="11"/>
                <c:pt idx="0">
                  <c:v>Office · FR</c:v>
                </c:pt>
                <c:pt idx="1">
                  <c:v>Office · GR + IT</c:v>
                </c:pt>
                <c:pt idx="2">
                  <c:v>Office · MX + CO</c:v>
                </c:pt>
                <c:pt idx="3">
                  <c:v>Office · ES + PT</c:v>
                </c:pt>
                <c:pt idx="4">
                  <c:v>EPC · FR</c:v>
                </c:pt>
                <c:pt idx="5">
                  <c:v>EPC · MX + CO</c:v>
                </c:pt>
                <c:pt idx="6">
                  <c:v>Factory · ES</c:v>
                </c:pt>
                <c:pt idx="7">
                  <c:v>Warehouse · MX</c:v>
                </c:pt>
                <c:pt idx="8">
                  <c:v>Warehouse · ES</c:v>
                </c:pt>
                <c:pt idx="9">
                  <c:v>Services · MX</c:v>
                </c:pt>
                <c:pt idx="10">
                  <c:v>Services · ES</c:v>
                </c:pt>
              </c:strCache>
            </c:strRef>
          </c:cat>
          <c:val>
            <c:numRef>
              <c:f>'P4 Global high'!$D$5:$D$15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25</c:v>
                </c:pt>
                <c:pt idx="3">
                  <c:v>12</c:v>
                </c:pt>
                <c:pt idx="4">
                  <c:v>0</c:v>
                </c:pt>
                <c:pt idx="5">
                  <c:v>19</c:v>
                </c:pt>
                <c:pt idx="6">
                  <c:v>2</c:v>
                </c:pt>
                <c:pt idx="7">
                  <c:v>23</c:v>
                </c:pt>
                <c:pt idx="8">
                  <c:v>62</c:v>
                </c:pt>
                <c:pt idx="9">
                  <c:v>16</c:v>
                </c:pt>
                <c:pt idx="10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6B-41C6-9069-BED2C5ADBC36}"/>
            </c:ext>
          </c:extLst>
        </c:ser>
        <c:ser>
          <c:idx val="1"/>
          <c:order val="1"/>
          <c:tx>
            <c:strRef>
              <c:f>'P4 Global high'!$E$4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Global high'!$I$5:$I$15</c:f>
              <c:strCache>
                <c:ptCount val="11"/>
                <c:pt idx="0">
                  <c:v>Office · FR</c:v>
                </c:pt>
                <c:pt idx="1">
                  <c:v>Office · GR + IT</c:v>
                </c:pt>
                <c:pt idx="2">
                  <c:v>Office · MX + CO</c:v>
                </c:pt>
                <c:pt idx="3">
                  <c:v>Office · ES + PT</c:v>
                </c:pt>
                <c:pt idx="4">
                  <c:v>EPC · FR</c:v>
                </c:pt>
                <c:pt idx="5">
                  <c:v>EPC · MX + CO</c:v>
                </c:pt>
                <c:pt idx="6">
                  <c:v>Factory · ES</c:v>
                </c:pt>
                <c:pt idx="7">
                  <c:v>Warehouse · MX</c:v>
                </c:pt>
                <c:pt idx="8">
                  <c:v>Warehouse · ES</c:v>
                </c:pt>
                <c:pt idx="9">
                  <c:v>Services · MX</c:v>
                </c:pt>
                <c:pt idx="10">
                  <c:v>Services · ES</c:v>
                </c:pt>
              </c:strCache>
            </c:strRef>
          </c:cat>
          <c:val>
            <c:numRef>
              <c:f>'P4 Global high'!$E$5:$E$15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15</c:v>
                </c:pt>
                <c:pt idx="7">
                  <c:v>7</c:v>
                </c:pt>
                <c:pt idx="8">
                  <c:v>35</c:v>
                </c:pt>
                <c:pt idx="9">
                  <c:v>7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6B-41C6-9069-BED2C5ADBC36}"/>
            </c:ext>
          </c:extLst>
        </c:ser>
        <c:ser>
          <c:idx val="2"/>
          <c:order val="2"/>
          <c:tx>
            <c:strRef>
              <c:f>'P4 Global high'!$F$4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Global high'!$I$5:$I$15</c:f>
              <c:strCache>
                <c:ptCount val="11"/>
                <c:pt idx="0">
                  <c:v>Office · FR</c:v>
                </c:pt>
                <c:pt idx="1">
                  <c:v>Office · GR + IT</c:v>
                </c:pt>
                <c:pt idx="2">
                  <c:v>Office · MX + CO</c:v>
                </c:pt>
                <c:pt idx="3">
                  <c:v>Office · ES + PT</c:v>
                </c:pt>
                <c:pt idx="4">
                  <c:v>EPC · FR</c:v>
                </c:pt>
                <c:pt idx="5">
                  <c:v>EPC · MX + CO</c:v>
                </c:pt>
                <c:pt idx="6">
                  <c:v>Factory · ES</c:v>
                </c:pt>
                <c:pt idx="7">
                  <c:v>Warehouse · MX</c:v>
                </c:pt>
                <c:pt idx="8">
                  <c:v>Warehouse · ES</c:v>
                </c:pt>
                <c:pt idx="9">
                  <c:v>Services · MX</c:v>
                </c:pt>
                <c:pt idx="10">
                  <c:v>Services · ES</c:v>
                </c:pt>
              </c:strCache>
            </c:strRef>
          </c:cat>
          <c:val>
            <c:numRef>
              <c:f>'P4 Global high'!$F$5:$F$15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13</c:v>
                </c:pt>
                <c:pt idx="6">
                  <c:v>9</c:v>
                </c:pt>
                <c:pt idx="7">
                  <c:v>5</c:v>
                </c:pt>
                <c:pt idx="8">
                  <c:v>33</c:v>
                </c:pt>
                <c:pt idx="9">
                  <c:v>13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6B-41C6-9069-BED2C5ADBC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 · high criticality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High by cluster'!$B$5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cluster'!$A$6:$A$9</c:f>
              <c:strCache>
                <c:ptCount val="4"/>
                <c:pt idx="0">
                  <c:v>Office</c:v>
                </c:pt>
                <c:pt idx="1">
                  <c:v>Factory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cluster'!$B$6:$B$9</c:f>
              <c:numCache>
                <c:formatCode>General</c:formatCode>
                <c:ptCount val="4"/>
                <c:pt idx="0">
                  <c:v>12</c:v>
                </c:pt>
                <c:pt idx="1">
                  <c:v>2</c:v>
                </c:pt>
                <c:pt idx="2">
                  <c:v>62</c:v>
                </c:pt>
                <c:pt idx="3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A3-4683-A6F8-236121562E2C}"/>
            </c:ext>
          </c:extLst>
        </c:ser>
        <c:ser>
          <c:idx val="1"/>
          <c:order val="1"/>
          <c:tx>
            <c:strRef>
              <c:f>'P4 High by cluster'!$C$5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cluster'!$A$6:$A$9</c:f>
              <c:strCache>
                <c:ptCount val="4"/>
                <c:pt idx="0">
                  <c:v>Office</c:v>
                </c:pt>
                <c:pt idx="1">
                  <c:v>Factory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cluster'!$C$6:$C$9</c:f>
              <c:numCache>
                <c:formatCode>General</c:formatCode>
                <c:ptCount val="4"/>
                <c:pt idx="0">
                  <c:v>3</c:v>
                </c:pt>
                <c:pt idx="1">
                  <c:v>15</c:v>
                </c:pt>
                <c:pt idx="2">
                  <c:v>35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6A3-4683-A6F8-236121562E2C}"/>
            </c:ext>
          </c:extLst>
        </c:ser>
        <c:ser>
          <c:idx val="2"/>
          <c:order val="2"/>
          <c:tx>
            <c:strRef>
              <c:f>'P4 High by cluster'!$D$5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cluster'!$A$6:$A$9</c:f>
              <c:strCache>
                <c:ptCount val="4"/>
                <c:pt idx="0">
                  <c:v>Office</c:v>
                </c:pt>
                <c:pt idx="1">
                  <c:v>Factory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cluster'!$D$6:$D$9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33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A3-4683-A6F8-236121562E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Mexico &amp; Colombia · high criticality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High by cluster'!$B$22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cluster'!$A$23:$A$26</c:f>
              <c:strCache>
                <c:ptCount val="4"/>
                <c:pt idx="0">
                  <c:v>Office</c:v>
                </c:pt>
                <c:pt idx="1">
                  <c:v>EPC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cluster'!$B$23:$B$26</c:f>
              <c:numCache>
                <c:formatCode>General</c:formatCode>
                <c:ptCount val="4"/>
                <c:pt idx="0">
                  <c:v>25</c:v>
                </c:pt>
                <c:pt idx="1">
                  <c:v>19</c:v>
                </c:pt>
                <c:pt idx="2">
                  <c:v>23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66-4150-9A74-25BE3DF561D4}"/>
            </c:ext>
          </c:extLst>
        </c:ser>
        <c:ser>
          <c:idx val="1"/>
          <c:order val="1"/>
          <c:tx>
            <c:strRef>
              <c:f>'P4 High by cluster'!$C$22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cluster'!$A$23:$A$26</c:f>
              <c:strCache>
                <c:ptCount val="4"/>
                <c:pt idx="0">
                  <c:v>Office</c:v>
                </c:pt>
                <c:pt idx="1">
                  <c:v>EPC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cluster'!$C$23:$C$26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66-4150-9A74-25BE3DF561D4}"/>
            </c:ext>
          </c:extLst>
        </c:ser>
        <c:ser>
          <c:idx val="2"/>
          <c:order val="2"/>
          <c:tx>
            <c:strRef>
              <c:f>'P4 High by cluster'!$D$22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cluster'!$A$23:$A$26</c:f>
              <c:strCache>
                <c:ptCount val="4"/>
                <c:pt idx="0">
                  <c:v>Office</c:v>
                </c:pt>
                <c:pt idx="1">
                  <c:v>EPC</c:v>
                </c:pt>
                <c:pt idx="2">
                  <c:v>Warehouse</c:v>
                </c:pt>
                <c:pt idx="3">
                  <c:v>Services</c:v>
                </c:pt>
              </c:strCache>
            </c:strRef>
          </c:cat>
          <c:val>
            <c:numRef>
              <c:f>'P4 High by cluster'!$D$23:$D$26</c:f>
              <c:numCache>
                <c:formatCode>General</c:formatCode>
                <c:ptCount val="4"/>
                <c:pt idx="0">
                  <c:v>3</c:v>
                </c:pt>
                <c:pt idx="1">
                  <c:v>13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666-4150-9A74-25BE3DF561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France · high criticality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High by cluster'!$B$39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cluster'!$A$40:$A$41</c:f>
              <c:strCache>
                <c:ptCount val="2"/>
                <c:pt idx="0">
                  <c:v>Office</c:v>
                </c:pt>
                <c:pt idx="1">
                  <c:v>EPC</c:v>
                </c:pt>
              </c:strCache>
            </c:strRef>
          </c:cat>
          <c:val>
            <c:numRef>
              <c:f>'P4 High by cluster'!$B$40:$B$41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C5-4963-AAB4-08D7E2220A0F}"/>
            </c:ext>
          </c:extLst>
        </c:ser>
        <c:ser>
          <c:idx val="1"/>
          <c:order val="1"/>
          <c:tx>
            <c:strRef>
              <c:f>'P4 High by cluster'!$C$39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cluster'!$A$40:$A$41</c:f>
              <c:strCache>
                <c:ptCount val="2"/>
                <c:pt idx="0">
                  <c:v>Office</c:v>
                </c:pt>
                <c:pt idx="1">
                  <c:v>EPC</c:v>
                </c:pt>
              </c:strCache>
            </c:strRef>
          </c:cat>
          <c:val>
            <c:numRef>
              <c:f>'P4 High by cluster'!$C$40:$C$41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AC5-4963-AAB4-08D7E2220A0F}"/>
            </c:ext>
          </c:extLst>
        </c:ser>
        <c:ser>
          <c:idx val="2"/>
          <c:order val="2"/>
          <c:tx>
            <c:strRef>
              <c:f>'P4 High by cluster'!$D$39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cluster'!$A$40:$A$41</c:f>
              <c:strCache>
                <c:ptCount val="2"/>
                <c:pt idx="0">
                  <c:v>Office</c:v>
                </c:pt>
                <c:pt idx="1">
                  <c:v>EPC</c:v>
                </c:pt>
              </c:strCache>
            </c:strRef>
          </c:cat>
          <c:val>
            <c:numRef>
              <c:f>'P4 High by cluster'!$D$40:$D$41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AC5-4963-AAB4-08D7E2220A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Greece &amp; Italy · high criticality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High by cluster'!$B$56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cluster'!$A$57</c:f>
              <c:strCache>
                <c:ptCount val="1"/>
                <c:pt idx="0">
                  <c:v>Office</c:v>
                </c:pt>
              </c:strCache>
            </c:strRef>
          </c:cat>
          <c:val>
            <c:numRef>
              <c:f>'P4 High by cluster'!$B$57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57-4C3B-A6D6-9E95849A20E6}"/>
            </c:ext>
          </c:extLst>
        </c:ser>
        <c:ser>
          <c:idx val="1"/>
          <c:order val="1"/>
          <c:tx>
            <c:strRef>
              <c:f>'P4 High by cluster'!$C$56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cluster'!$A$57</c:f>
              <c:strCache>
                <c:ptCount val="1"/>
                <c:pt idx="0">
                  <c:v>Office</c:v>
                </c:pt>
              </c:strCache>
            </c:strRef>
          </c:cat>
          <c:val>
            <c:numRef>
              <c:f>'P4 High by cluster'!$C$57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57-4C3B-A6D6-9E95849A20E6}"/>
            </c:ext>
          </c:extLst>
        </c:ser>
        <c:ser>
          <c:idx val="2"/>
          <c:order val="2"/>
          <c:tx>
            <c:strRef>
              <c:f>'P4 High by cluster'!$D$56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by cluster'!$A$57</c:f>
              <c:strCache>
                <c:ptCount val="1"/>
                <c:pt idx="0">
                  <c:v>Office</c:v>
                </c:pt>
              </c:strCache>
            </c:strRef>
          </c:cat>
          <c:val>
            <c:numRef>
              <c:f>'P4 High by cluster'!$D$57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457-4C3B-A6D6-9E95849A2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High criticality mix per cluster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'P4 High mix'!$B$4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mix'!$A$5:$A$8</c:f>
              <c:strCache>
                <c:ptCount val="4"/>
                <c:pt idx="0">
                  <c:v>Spain &amp; Portugal</c:v>
                </c:pt>
                <c:pt idx="1">
                  <c:v>Mexico &amp; Colombia</c:v>
                </c:pt>
                <c:pt idx="2">
                  <c:v>France</c:v>
                </c:pt>
                <c:pt idx="3">
                  <c:v>Greece &amp; Italy</c:v>
                </c:pt>
              </c:strCache>
            </c:strRef>
          </c:cat>
          <c:val>
            <c:numRef>
              <c:f>'P4 High mix'!$B$5:$B$8</c:f>
              <c:numCache>
                <c:formatCode>General</c:formatCode>
                <c:ptCount val="4"/>
                <c:pt idx="0">
                  <c:v>86</c:v>
                </c:pt>
                <c:pt idx="1">
                  <c:v>83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FF-43A4-9B92-BD74522038B0}"/>
            </c:ext>
          </c:extLst>
        </c:ser>
        <c:ser>
          <c:idx val="1"/>
          <c:order val="1"/>
          <c:tx>
            <c:strRef>
              <c:f>'P4 High mix'!$C$4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mix'!$A$5:$A$8</c:f>
              <c:strCache>
                <c:ptCount val="4"/>
                <c:pt idx="0">
                  <c:v>Spain &amp; Portugal</c:v>
                </c:pt>
                <c:pt idx="1">
                  <c:v>Mexico &amp; Colombia</c:v>
                </c:pt>
                <c:pt idx="2">
                  <c:v>France</c:v>
                </c:pt>
                <c:pt idx="3">
                  <c:v>Greece &amp; Italy</c:v>
                </c:pt>
              </c:strCache>
            </c:strRef>
          </c:cat>
          <c:val>
            <c:numRef>
              <c:f>'P4 High mix'!$C$5:$C$8</c:f>
              <c:numCache>
                <c:formatCode>General</c:formatCode>
                <c:ptCount val="4"/>
                <c:pt idx="0">
                  <c:v>53</c:v>
                </c:pt>
                <c:pt idx="1">
                  <c:v>16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FF-43A4-9B92-BD74522038B0}"/>
            </c:ext>
          </c:extLst>
        </c:ser>
        <c:ser>
          <c:idx val="2"/>
          <c:order val="2"/>
          <c:tx>
            <c:strRef>
              <c:f>'P4 High mix'!$D$4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mix'!$A$5:$A$8</c:f>
              <c:strCache>
                <c:ptCount val="4"/>
                <c:pt idx="0">
                  <c:v>Spain &amp; Portugal</c:v>
                </c:pt>
                <c:pt idx="1">
                  <c:v>Mexico &amp; Colombia</c:v>
                </c:pt>
                <c:pt idx="2">
                  <c:v>France</c:v>
                </c:pt>
                <c:pt idx="3">
                  <c:v>Greece &amp; Italy</c:v>
                </c:pt>
              </c:strCache>
            </c:strRef>
          </c:cat>
          <c:val>
            <c:numRef>
              <c:f>'P4 High mix'!$D$5:$D$8</c:f>
              <c:numCache>
                <c:formatCode>General</c:formatCode>
                <c:ptCount val="4"/>
                <c:pt idx="0">
                  <c:v>44</c:v>
                </c:pt>
                <c:pt idx="1">
                  <c:v>34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1FF-43A4-9B92-BD7452203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High criticality mix per type of business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'P4 High mix'!$B$12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mix'!$A$13:$A$17</c:f>
              <c:strCache>
                <c:ptCount val="5"/>
                <c:pt idx="0">
                  <c:v>Office</c:v>
                </c:pt>
                <c:pt idx="1">
                  <c:v>EPC</c:v>
                </c:pt>
                <c:pt idx="2">
                  <c:v>Factory</c:v>
                </c:pt>
                <c:pt idx="3">
                  <c:v>Warehouse</c:v>
                </c:pt>
                <c:pt idx="4">
                  <c:v>Services</c:v>
                </c:pt>
              </c:strCache>
            </c:strRef>
          </c:cat>
          <c:val>
            <c:numRef>
              <c:f>'P4 High mix'!$B$13:$B$17</c:f>
              <c:numCache>
                <c:formatCode>General</c:formatCode>
                <c:ptCount val="5"/>
                <c:pt idx="0">
                  <c:v>52</c:v>
                </c:pt>
                <c:pt idx="1">
                  <c:v>19</c:v>
                </c:pt>
                <c:pt idx="2">
                  <c:v>2</c:v>
                </c:pt>
                <c:pt idx="3">
                  <c:v>85</c:v>
                </c:pt>
                <c:pt idx="4">
                  <c:v>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24-4B27-B650-44502E1DD067}"/>
            </c:ext>
          </c:extLst>
        </c:ser>
        <c:ser>
          <c:idx val="1"/>
          <c:order val="1"/>
          <c:tx>
            <c:strRef>
              <c:f>'P4 High mix'!$C$12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mix'!$A$13:$A$17</c:f>
              <c:strCache>
                <c:ptCount val="5"/>
                <c:pt idx="0">
                  <c:v>Office</c:v>
                </c:pt>
                <c:pt idx="1">
                  <c:v>EPC</c:v>
                </c:pt>
                <c:pt idx="2">
                  <c:v>Factory</c:v>
                </c:pt>
                <c:pt idx="3">
                  <c:v>Warehouse</c:v>
                </c:pt>
                <c:pt idx="4">
                  <c:v>Services</c:v>
                </c:pt>
              </c:strCache>
            </c:strRef>
          </c:cat>
          <c:val>
            <c:numRef>
              <c:f>'P4 High mix'!$C$13:$C$17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42</c:v>
                </c:pt>
                <c:pt idx="4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24-4B27-B650-44502E1DD067}"/>
            </c:ext>
          </c:extLst>
        </c:ser>
        <c:ser>
          <c:idx val="2"/>
          <c:order val="2"/>
          <c:tx>
            <c:strRef>
              <c:f>'P4 High mix'!$D$12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High mix'!$A$13:$A$17</c:f>
              <c:strCache>
                <c:ptCount val="5"/>
                <c:pt idx="0">
                  <c:v>Office</c:v>
                </c:pt>
                <c:pt idx="1">
                  <c:v>EPC</c:v>
                </c:pt>
                <c:pt idx="2">
                  <c:v>Factory</c:v>
                </c:pt>
                <c:pt idx="3">
                  <c:v>Warehouse</c:v>
                </c:pt>
                <c:pt idx="4">
                  <c:v>Services</c:v>
                </c:pt>
              </c:strCache>
            </c:strRef>
          </c:cat>
          <c:val>
            <c:numRef>
              <c:f>'P4 High mix'!$D$13:$D$17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9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24-4B27-B650-44502E1DD0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Spain &amp; Portugal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All criticality'!$B$5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criticality'!$B$6:$B$8</c:f>
              <c:numCache>
                <c:formatCode>General</c:formatCode>
                <c:ptCount val="3"/>
                <c:pt idx="0">
                  <c:v>86</c:v>
                </c:pt>
                <c:pt idx="1">
                  <c:v>35</c:v>
                </c:pt>
                <c:pt idx="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94-4110-A555-7B4B8EE44657}"/>
            </c:ext>
          </c:extLst>
        </c:ser>
        <c:ser>
          <c:idx val="1"/>
          <c:order val="1"/>
          <c:tx>
            <c:strRef>
              <c:f>'P4 All criticality'!$C$5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criticality'!$C$6:$C$8</c:f>
              <c:numCache>
                <c:formatCode>General</c:formatCode>
                <c:ptCount val="3"/>
                <c:pt idx="0">
                  <c:v>53</c:v>
                </c:pt>
                <c:pt idx="1">
                  <c:v>94</c:v>
                </c:pt>
                <c:pt idx="2">
                  <c:v>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094-4110-A555-7B4B8EE44657}"/>
            </c:ext>
          </c:extLst>
        </c:ser>
        <c:ser>
          <c:idx val="2"/>
          <c:order val="2"/>
          <c:tx>
            <c:strRef>
              <c:f>'P4 All criticality'!$D$5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criticality'!$D$6:$D$8</c:f>
              <c:numCache>
                <c:formatCode>General</c:formatCode>
                <c:ptCount val="3"/>
                <c:pt idx="0">
                  <c:v>44</c:v>
                </c:pt>
                <c:pt idx="1">
                  <c:v>41</c:v>
                </c:pt>
                <c:pt idx="2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094-4110-A555-7B4B8EE446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Mexico &amp; Colombia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All criticality'!$B$21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criticality'!$B$22:$B$24</c:f>
              <c:numCache>
                <c:formatCode>General</c:formatCode>
                <c:ptCount val="3"/>
                <c:pt idx="0">
                  <c:v>83</c:v>
                </c:pt>
                <c:pt idx="1">
                  <c:v>58</c:v>
                </c:pt>
                <c:pt idx="2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FB-427D-88CF-2C880A3BCF23}"/>
            </c:ext>
          </c:extLst>
        </c:ser>
        <c:ser>
          <c:idx val="1"/>
          <c:order val="1"/>
          <c:tx>
            <c:strRef>
              <c:f>'P4 All criticality'!$C$21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criticality'!$C$22:$C$24</c:f>
              <c:numCache>
                <c:formatCode>General</c:formatCode>
                <c:ptCount val="3"/>
                <c:pt idx="0">
                  <c:v>16</c:v>
                </c:pt>
                <c:pt idx="1">
                  <c:v>19</c:v>
                </c:pt>
                <c:pt idx="2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FB-427D-88CF-2C880A3BCF23}"/>
            </c:ext>
          </c:extLst>
        </c:ser>
        <c:ser>
          <c:idx val="2"/>
          <c:order val="2"/>
          <c:tx>
            <c:strRef>
              <c:f>'P4 All criticality'!$D$21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criticality'!$A$22:$A$24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criticality'!$D$22:$D$24</c:f>
              <c:numCache>
                <c:formatCode>General</c:formatCode>
                <c:ptCount val="3"/>
                <c:pt idx="0">
                  <c:v>34</c:v>
                </c:pt>
                <c:pt idx="1">
                  <c:v>27</c:v>
                </c:pt>
                <c:pt idx="2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FB-427D-88CF-2C880A3BCF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France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All criticality'!$B$37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criticality'!$B$38:$B$40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7B-4AFC-84B3-CFE7567A6BE8}"/>
            </c:ext>
          </c:extLst>
        </c:ser>
        <c:ser>
          <c:idx val="1"/>
          <c:order val="1"/>
          <c:tx>
            <c:strRef>
              <c:f>'P4 All criticality'!$C$37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criticality'!$C$38:$C$40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F7B-4AFC-84B3-CFE7567A6BE8}"/>
            </c:ext>
          </c:extLst>
        </c:ser>
        <c:ser>
          <c:idx val="2"/>
          <c:order val="2"/>
          <c:tx>
            <c:strRef>
              <c:f>'P4 All criticality'!$D$37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criticality'!$A$38:$A$40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criticality'!$D$38:$D$40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F7B-4AFC-84B3-CFE7567A6B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Greece &amp; Italy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'P4 All criticality'!$B$53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FA27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criticality'!$B$54:$B$56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C1-4464-8F9B-E05BA7B85758}"/>
            </c:ext>
          </c:extLst>
        </c:ser>
        <c:ser>
          <c:idx val="1"/>
          <c:order val="1"/>
          <c:tx>
            <c:strRef>
              <c:f>'P4 All criticality'!$C$53</c:f>
              <c:strCache>
                <c:ptCount val="1"/>
                <c:pt idx="0">
                  <c:v>Partially compliant</c:v>
                </c:pt>
              </c:strCache>
            </c:strRef>
          </c:tx>
          <c:spPr>
            <a:solidFill>
              <a:srgbClr val="F0A02C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criticality'!$C$54:$C$56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C1-4464-8F9B-E05BA7B85758}"/>
            </c:ext>
          </c:extLst>
        </c:ser>
        <c:ser>
          <c:idx val="2"/>
          <c:order val="2"/>
          <c:tx>
            <c:strRef>
              <c:f>'P4 All criticality'!$D$53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'P4 All criticality'!$A$54:$A$56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'P4 All criticality'!$D$54:$D$56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0C1-4464-8F9B-E05BA7B857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Requirements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" Type="http://schemas.openxmlformats.org/officeDocument/2006/relationships/chart" Target="../charts/chart30.xml"/><Relationship Id="rId21" Type="http://schemas.openxmlformats.org/officeDocument/2006/relationships/chart" Target="../charts/chart48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0" Type="http://schemas.openxmlformats.org/officeDocument/2006/relationships/chart" Target="../charts/chart47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23" Type="http://schemas.openxmlformats.org/officeDocument/2006/relationships/chart" Target="../charts/chart50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Relationship Id="rId22" Type="http://schemas.openxmlformats.org/officeDocument/2006/relationships/chart" Target="../charts/chart4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3" Type="http://schemas.openxmlformats.org/officeDocument/2006/relationships/chart" Target="../charts/chart54.xml"/><Relationship Id="rId7" Type="http://schemas.openxmlformats.org/officeDocument/2006/relationships/chart" Target="../charts/chart58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11" Type="http://schemas.openxmlformats.org/officeDocument/2006/relationships/chart" Target="../charts/chart62.xml"/><Relationship Id="rId5" Type="http://schemas.openxmlformats.org/officeDocument/2006/relationships/chart" Target="../charts/chart56.xml"/><Relationship Id="rId10" Type="http://schemas.openxmlformats.org/officeDocument/2006/relationships/chart" Target="../charts/chart61.xml"/><Relationship Id="rId4" Type="http://schemas.openxmlformats.org/officeDocument/2006/relationships/chart" Target="../charts/chart55.xml"/><Relationship Id="rId9" Type="http://schemas.openxmlformats.org/officeDocument/2006/relationships/chart" Target="../charts/chart6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4" Type="http://schemas.openxmlformats.org/officeDocument/2006/relationships/chart" Target="../charts/chart7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51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67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83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</xdr:col>
      <xdr:colOff>0</xdr:colOff>
      <xdr:row>99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115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</xdr:col>
      <xdr:colOff>0</xdr:colOff>
      <xdr:row>131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16</xdr:col>
      <xdr:colOff>0</xdr:colOff>
      <xdr:row>147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6</xdr:col>
      <xdr:colOff>0</xdr:colOff>
      <xdr:row>163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179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6</xdr:col>
      <xdr:colOff>0</xdr:colOff>
      <xdr:row>195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211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6</xdr:col>
      <xdr:colOff>0</xdr:colOff>
      <xdr:row>227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16</xdr:col>
      <xdr:colOff>0</xdr:colOff>
      <xdr:row>243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6</xdr:col>
      <xdr:colOff>0</xdr:colOff>
      <xdr:row>259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16</xdr:col>
      <xdr:colOff>0</xdr:colOff>
      <xdr:row>275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6</xdr:col>
      <xdr:colOff>0</xdr:colOff>
      <xdr:row>291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16</xdr:col>
      <xdr:colOff>0</xdr:colOff>
      <xdr:row>307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6</xdr:col>
      <xdr:colOff>0</xdr:colOff>
      <xdr:row>323</xdr:row>
      <xdr:rowOff>0</xdr:rowOff>
    </xdr:from>
    <xdr:ext cx="5400000" cy="270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16</xdr:col>
      <xdr:colOff>0</xdr:colOff>
      <xdr:row>339</xdr:row>
      <xdr:rowOff>0</xdr:rowOff>
    </xdr:from>
    <xdr:ext cx="5400000" cy="270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6</xdr:col>
      <xdr:colOff>0</xdr:colOff>
      <xdr:row>355</xdr:row>
      <xdr:rowOff>0</xdr:rowOff>
    </xdr:from>
    <xdr:ext cx="5400000" cy="270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79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7200000" cy="34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24</xdr:row>
      <xdr:rowOff>0</xdr:rowOff>
    </xdr:from>
    <xdr:ext cx="7200000" cy="329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44</xdr:row>
      <xdr:rowOff>0</xdr:rowOff>
    </xdr:from>
    <xdr:ext cx="7200000" cy="309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63</xdr:row>
      <xdr:rowOff>0</xdr:rowOff>
    </xdr:from>
    <xdr:ext cx="7200000" cy="309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82</xdr:row>
      <xdr:rowOff>0</xdr:rowOff>
    </xdr:from>
    <xdr:ext cx="7200000" cy="289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100</xdr:row>
      <xdr:rowOff>0</xdr:rowOff>
    </xdr:from>
    <xdr:ext cx="7200000" cy="289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9</xdr:col>
      <xdr:colOff>0</xdr:colOff>
      <xdr:row>118</xdr:row>
      <xdr:rowOff>0</xdr:rowOff>
    </xdr:from>
    <xdr:ext cx="720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132</xdr:row>
      <xdr:rowOff>0</xdr:rowOff>
    </xdr:from>
    <xdr:ext cx="720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</xdr:col>
      <xdr:colOff>0</xdr:colOff>
      <xdr:row>146</xdr:row>
      <xdr:rowOff>0</xdr:rowOff>
    </xdr:from>
    <xdr:ext cx="7200000" cy="2304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0</xdr:colOff>
      <xdr:row>160</xdr:row>
      <xdr:rowOff>0</xdr:rowOff>
    </xdr:from>
    <xdr:ext cx="7200000" cy="4878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189</xdr:row>
      <xdr:rowOff>0</xdr:rowOff>
    </xdr:from>
    <xdr:ext cx="7200000" cy="3294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9</xdr:col>
      <xdr:colOff>0</xdr:colOff>
      <xdr:row>209</xdr:row>
      <xdr:rowOff>0</xdr:rowOff>
    </xdr:from>
    <xdr:ext cx="7200000" cy="2502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9</xdr:col>
      <xdr:colOff>0</xdr:colOff>
      <xdr:row>224</xdr:row>
      <xdr:rowOff>0</xdr:rowOff>
    </xdr:from>
    <xdr:ext cx="7200000" cy="2898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9</xdr:col>
      <xdr:colOff>0</xdr:colOff>
      <xdr:row>242</xdr:row>
      <xdr:rowOff>0</xdr:rowOff>
    </xdr:from>
    <xdr:ext cx="7200000" cy="2898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9</xdr:col>
      <xdr:colOff>0</xdr:colOff>
      <xdr:row>260</xdr:row>
      <xdr:rowOff>0</xdr:rowOff>
    </xdr:from>
    <xdr:ext cx="7200000" cy="2898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9</xdr:col>
      <xdr:colOff>0</xdr:colOff>
      <xdr:row>278</xdr:row>
      <xdr:rowOff>0</xdr:rowOff>
    </xdr:from>
    <xdr:ext cx="7200000" cy="216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9</xdr:col>
      <xdr:colOff>0</xdr:colOff>
      <xdr:row>292</xdr:row>
      <xdr:rowOff>0</xdr:rowOff>
    </xdr:from>
    <xdr:ext cx="7200000" cy="216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9</xdr:col>
      <xdr:colOff>0</xdr:colOff>
      <xdr:row>306</xdr:row>
      <xdr:rowOff>0</xdr:rowOff>
    </xdr:from>
    <xdr:ext cx="7200000" cy="2898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9</xdr:col>
      <xdr:colOff>0</xdr:colOff>
      <xdr:row>324</xdr:row>
      <xdr:rowOff>0</xdr:rowOff>
    </xdr:from>
    <xdr:ext cx="7200000" cy="216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9</xdr:col>
      <xdr:colOff>0</xdr:colOff>
      <xdr:row>338</xdr:row>
      <xdr:rowOff>0</xdr:rowOff>
    </xdr:from>
    <xdr:ext cx="7200000" cy="3492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9</xdr:col>
      <xdr:colOff>0</xdr:colOff>
      <xdr:row>359</xdr:row>
      <xdr:rowOff>0</xdr:rowOff>
    </xdr:from>
    <xdr:ext cx="7200000" cy="216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9</xdr:col>
      <xdr:colOff>0</xdr:colOff>
      <xdr:row>373</xdr:row>
      <xdr:rowOff>0</xdr:rowOff>
    </xdr:from>
    <xdr:ext cx="7200000" cy="2304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9</xdr:col>
      <xdr:colOff>0</xdr:colOff>
      <xdr:row>387</xdr:row>
      <xdr:rowOff>0</xdr:rowOff>
    </xdr:from>
    <xdr:ext cx="7200000" cy="2898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51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67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83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</xdr:col>
      <xdr:colOff>0</xdr:colOff>
      <xdr:row>99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115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</xdr:col>
      <xdr:colOff>0</xdr:colOff>
      <xdr:row>131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16</xdr:col>
      <xdr:colOff>0</xdr:colOff>
      <xdr:row>147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6</xdr:col>
      <xdr:colOff>0</xdr:colOff>
      <xdr:row>163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9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11</xdr:row>
      <xdr:rowOff>0</xdr:rowOff>
    </xdr:from>
    <xdr:ext cx="79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51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5" x14ac:dyDescent="0.25"/>
  <cols>
    <col min="1" max="1" width="30" customWidth="1"/>
    <col min="2" max="2" width="12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4" t="s">
        <v>6</v>
      </c>
      <c r="B6" s="5" t="s">
        <v>7</v>
      </c>
    </row>
    <row r="7" spans="1:2" x14ac:dyDescent="0.25">
      <c r="A7" s="4" t="s">
        <v>8</v>
      </c>
      <c r="B7" s="5" t="s">
        <v>9</v>
      </c>
    </row>
    <row r="8" spans="1:2" x14ac:dyDescent="0.25">
      <c r="A8" s="4" t="s">
        <v>10</v>
      </c>
      <c r="B8" s="5" t="s">
        <v>11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14</v>
      </c>
      <c r="B10" s="5" t="s">
        <v>15</v>
      </c>
    </row>
    <row r="11" spans="1:2" x14ac:dyDescent="0.25">
      <c r="A11" s="4" t="s">
        <v>16</v>
      </c>
      <c r="B11" s="5" t="s">
        <v>17</v>
      </c>
    </row>
    <row r="12" spans="1:2" x14ac:dyDescent="0.25">
      <c r="A12" s="4" t="s">
        <v>18</v>
      </c>
      <c r="B12" s="5" t="s">
        <v>19</v>
      </c>
    </row>
    <row r="13" spans="1:2" x14ac:dyDescent="0.25">
      <c r="A13" s="4" t="s">
        <v>20</v>
      </c>
      <c r="B13" s="5" t="s">
        <v>21</v>
      </c>
    </row>
    <row r="14" spans="1:2" x14ac:dyDescent="0.25">
      <c r="A14" s="4" t="s">
        <v>22</v>
      </c>
      <c r="B14" s="5" t="s">
        <v>23</v>
      </c>
    </row>
    <row r="15" spans="1:2" x14ac:dyDescent="0.25">
      <c r="A15" s="4" t="s">
        <v>24</v>
      </c>
      <c r="B15" s="5" t="s">
        <v>25</v>
      </c>
    </row>
    <row r="16" spans="1:2" x14ac:dyDescent="0.25">
      <c r="A16" s="4" t="s">
        <v>26</v>
      </c>
      <c r="B16" s="5" t="s">
        <v>27</v>
      </c>
    </row>
    <row r="17" spans="1:2" x14ac:dyDescent="0.25">
      <c r="A17" s="4" t="s">
        <v>28</v>
      </c>
      <c r="B17" s="5" t="s">
        <v>29</v>
      </c>
    </row>
    <row r="18" spans="1:2" x14ac:dyDescent="0.25">
      <c r="A18" s="4" t="s">
        <v>30</v>
      </c>
      <c r="B18" s="5" t="s">
        <v>31</v>
      </c>
    </row>
    <row r="19" spans="1:2" x14ac:dyDescent="0.25">
      <c r="A19" s="4" t="s">
        <v>32</v>
      </c>
      <c r="B19" s="5" t="s">
        <v>33</v>
      </c>
    </row>
    <row r="20" spans="1:2" x14ac:dyDescent="0.25">
      <c r="A20" s="4" t="s">
        <v>34</v>
      </c>
      <c r="B20" s="5" t="s">
        <v>35</v>
      </c>
    </row>
    <row r="21" spans="1:2" x14ac:dyDescent="0.25">
      <c r="A21" s="4" t="s">
        <v>36</v>
      </c>
      <c r="B21" s="5" t="s">
        <v>37</v>
      </c>
    </row>
    <row r="22" spans="1:2" x14ac:dyDescent="0.25">
      <c r="A22" s="4" t="s">
        <v>38</v>
      </c>
      <c r="B22" s="5" t="s">
        <v>39</v>
      </c>
    </row>
    <row r="23" spans="1:2" x14ac:dyDescent="0.25">
      <c r="A23" s="4" t="s">
        <v>40</v>
      </c>
      <c r="B23" s="5" t="s">
        <v>41</v>
      </c>
    </row>
    <row r="24" spans="1:2" x14ac:dyDescent="0.25">
      <c r="A24" s="4" t="s">
        <v>42</v>
      </c>
      <c r="B24" s="5" t="s">
        <v>43</v>
      </c>
    </row>
    <row r="25" spans="1:2" x14ac:dyDescent="0.25">
      <c r="A25" s="4" t="s">
        <v>44</v>
      </c>
      <c r="B25" s="5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A3" sqref="A3"/>
    </sheetView>
  </sheetViews>
  <sheetFormatPr defaultRowHeight="15" x14ac:dyDescent="0.25"/>
  <cols>
    <col min="1" max="1" width="14" customWidth="1"/>
    <col min="2" max="4" width="10" customWidth="1"/>
    <col min="5" max="5" width="11" customWidth="1"/>
    <col min="6" max="7" width="10" customWidth="1"/>
  </cols>
  <sheetData>
    <row r="1" spans="1:7" ht="18.75" x14ac:dyDescent="0.3">
      <c r="A1" s="1" t="s">
        <v>46</v>
      </c>
    </row>
    <row r="2" spans="1:7" x14ac:dyDescent="0.25">
      <c r="A2" s="2" t="s">
        <v>975</v>
      </c>
    </row>
    <row r="4" spans="1:7" ht="30" x14ac:dyDescent="0.25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</row>
    <row r="5" spans="1:7" x14ac:dyDescent="0.25">
      <c r="A5" s="4" t="s">
        <v>54</v>
      </c>
      <c r="B5" s="4">
        <v>31</v>
      </c>
      <c r="C5" s="4">
        <v>0</v>
      </c>
      <c r="D5" s="4">
        <v>81</v>
      </c>
      <c r="E5" s="4">
        <v>364</v>
      </c>
      <c r="F5" s="4">
        <v>11</v>
      </c>
      <c r="G5" s="4">
        <f t="shared" ref="G5:G11" si="0">SUM(B5:F5)</f>
        <v>487</v>
      </c>
    </row>
    <row r="6" spans="1:7" x14ac:dyDescent="0.25">
      <c r="A6" s="4" t="s">
        <v>55</v>
      </c>
      <c r="B6" s="4">
        <v>45</v>
      </c>
      <c r="C6" s="4">
        <v>0</v>
      </c>
      <c r="D6" s="4">
        <v>0</v>
      </c>
      <c r="E6" s="4">
        <v>0</v>
      </c>
      <c r="F6" s="4">
        <v>0</v>
      </c>
      <c r="G6" s="4">
        <f t="shared" si="0"/>
        <v>45</v>
      </c>
    </row>
    <row r="7" spans="1:7" x14ac:dyDescent="0.25">
      <c r="A7" s="4" t="s">
        <v>56</v>
      </c>
      <c r="B7" s="4">
        <v>47</v>
      </c>
      <c r="C7" s="4">
        <v>38</v>
      </c>
      <c r="D7" s="4">
        <v>0</v>
      </c>
      <c r="E7" s="4">
        <v>81</v>
      </c>
      <c r="F7" s="4">
        <v>140</v>
      </c>
      <c r="G7" s="4">
        <f t="shared" si="0"/>
        <v>306</v>
      </c>
    </row>
    <row r="8" spans="1:7" x14ac:dyDescent="0.25">
      <c r="A8" s="4" t="s">
        <v>57</v>
      </c>
      <c r="B8" s="4">
        <v>21</v>
      </c>
      <c r="C8" s="4">
        <v>49</v>
      </c>
      <c r="D8" s="4">
        <v>0</v>
      </c>
      <c r="E8" s="4">
        <v>0</v>
      </c>
      <c r="F8" s="4">
        <v>0</v>
      </c>
      <c r="G8" s="4">
        <f t="shared" si="0"/>
        <v>70</v>
      </c>
    </row>
    <row r="9" spans="1:7" x14ac:dyDescent="0.25">
      <c r="A9" s="4" t="s">
        <v>58</v>
      </c>
      <c r="B9" s="4">
        <v>30</v>
      </c>
      <c r="C9" s="4">
        <v>31</v>
      </c>
      <c r="D9" s="4">
        <v>0</v>
      </c>
      <c r="E9" s="4">
        <v>0</v>
      </c>
      <c r="F9" s="4">
        <v>0</v>
      </c>
      <c r="G9" s="4">
        <f t="shared" si="0"/>
        <v>61</v>
      </c>
    </row>
    <row r="10" spans="1:7" x14ac:dyDescent="0.25">
      <c r="A10" s="4" t="s">
        <v>59</v>
      </c>
      <c r="B10" s="4">
        <v>28</v>
      </c>
      <c r="C10" s="4">
        <v>0</v>
      </c>
      <c r="D10" s="4">
        <v>0</v>
      </c>
      <c r="E10" s="4">
        <v>0</v>
      </c>
      <c r="F10" s="4">
        <v>0</v>
      </c>
      <c r="G10" s="4">
        <f t="shared" si="0"/>
        <v>28</v>
      </c>
    </row>
    <row r="11" spans="1:7" x14ac:dyDescent="0.25">
      <c r="A11" s="4" t="s">
        <v>60</v>
      </c>
      <c r="B11" s="4">
        <v>44</v>
      </c>
      <c r="C11" s="4">
        <v>0</v>
      </c>
      <c r="D11" s="4">
        <v>0</v>
      </c>
      <c r="E11" s="4">
        <v>0</v>
      </c>
      <c r="F11" s="4">
        <v>0</v>
      </c>
      <c r="G11" s="4">
        <f t="shared" si="0"/>
        <v>44</v>
      </c>
    </row>
    <row r="12" spans="1:7" x14ac:dyDescent="0.25">
      <c r="A12" s="6" t="s">
        <v>53</v>
      </c>
      <c r="B12" s="6">
        <f t="shared" ref="B12:G12" si="1">SUM(B5:B11)</f>
        <v>246</v>
      </c>
      <c r="C12" s="6">
        <f t="shared" si="1"/>
        <v>118</v>
      </c>
      <c r="D12" s="6">
        <f t="shared" si="1"/>
        <v>81</v>
      </c>
      <c r="E12" s="6">
        <f t="shared" si="1"/>
        <v>445</v>
      </c>
      <c r="F12" s="6">
        <f t="shared" si="1"/>
        <v>151</v>
      </c>
      <c r="G12" s="6">
        <f t="shared" si="1"/>
        <v>1041</v>
      </c>
    </row>
    <row r="13" spans="1:7" x14ac:dyDescent="0.25">
      <c r="A13" s="2" t="s">
        <v>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2"/>
  <sheetViews>
    <sheetView workbookViewId="0"/>
  </sheetViews>
  <sheetFormatPr defaultRowHeight="15" x14ac:dyDescent="0.25"/>
  <cols>
    <col min="1" max="1" width="40" customWidth="1"/>
    <col min="2" max="2" width="12" customWidth="1"/>
  </cols>
  <sheetData>
    <row r="1" spans="1:2" ht="18.75" x14ac:dyDescent="0.3">
      <c r="A1" s="1" t="s">
        <v>62</v>
      </c>
    </row>
    <row r="2" spans="1:2" x14ac:dyDescent="0.25">
      <c r="A2" s="2" t="s">
        <v>63</v>
      </c>
    </row>
    <row r="4" spans="1:2" ht="30" x14ac:dyDescent="0.25">
      <c r="A4" s="3" t="s">
        <v>64</v>
      </c>
      <c r="B4" s="3" t="s">
        <v>65</v>
      </c>
    </row>
    <row r="5" spans="1:2" x14ac:dyDescent="0.25">
      <c r="A5" s="4" t="s">
        <v>66</v>
      </c>
      <c r="B5" s="4">
        <v>78</v>
      </c>
    </row>
    <row r="6" spans="1:2" x14ac:dyDescent="0.25">
      <c r="A6" s="4" t="s">
        <v>67</v>
      </c>
      <c r="B6" s="4">
        <v>45</v>
      </c>
    </row>
    <row r="7" spans="1:2" x14ac:dyDescent="0.25">
      <c r="A7" s="4" t="s">
        <v>68</v>
      </c>
      <c r="B7" s="4">
        <v>38</v>
      </c>
    </row>
    <row r="8" spans="1:2" x14ac:dyDescent="0.25">
      <c r="A8" s="4" t="s">
        <v>69</v>
      </c>
      <c r="B8" s="4">
        <v>35</v>
      </c>
    </row>
    <row r="9" spans="1:2" x14ac:dyDescent="0.25">
      <c r="A9" s="4" t="s">
        <v>70</v>
      </c>
      <c r="B9" s="4">
        <v>29</v>
      </c>
    </row>
    <row r="10" spans="1:2" x14ac:dyDescent="0.25">
      <c r="A10" s="4" t="s">
        <v>71</v>
      </c>
      <c r="B10" s="4">
        <v>26</v>
      </c>
    </row>
    <row r="11" spans="1:2" x14ac:dyDescent="0.25">
      <c r="A11" s="4" t="s">
        <v>72</v>
      </c>
      <c r="B11" s="4">
        <v>25</v>
      </c>
    </row>
    <row r="12" spans="1:2" x14ac:dyDescent="0.25">
      <c r="A12" s="4" t="s">
        <v>73</v>
      </c>
      <c r="B12" s="4">
        <v>23</v>
      </c>
    </row>
    <row r="13" spans="1:2" x14ac:dyDescent="0.25">
      <c r="A13" s="4" t="s">
        <v>74</v>
      </c>
      <c r="B13" s="4">
        <v>22</v>
      </c>
    </row>
    <row r="14" spans="1:2" x14ac:dyDescent="0.25">
      <c r="A14" s="4" t="s">
        <v>75</v>
      </c>
      <c r="B14" s="4">
        <v>22</v>
      </c>
    </row>
    <row r="15" spans="1:2" x14ac:dyDescent="0.25">
      <c r="A15" s="4" t="s">
        <v>76</v>
      </c>
      <c r="B15" s="4">
        <v>20</v>
      </c>
    </row>
    <row r="16" spans="1:2" x14ac:dyDescent="0.25">
      <c r="A16" s="4" t="s">
        <v>77</v>
      </c>
      <c r="B16" s="4">
        <v>20</v>
      </c>
    </row>
    <row r="17" spans="1:2" x14ac:dyDescent="0.25">
      <c r="A17" s="4" t="s">
        <v>78</v>
      </c>
      <c r="B17" s="4">
        <v>20</v>
      </c>
    </row>
    <row r="18" spans="1:2" x14ac:dyDescent="0.25">
      <c r="A18" s="4" t="s">
        <v>79</v>
      </c>
      <c r="B18" s="4">
        <v>20</v>
      </c>
    </row>
    <row r="19" spans="1:2" x14ac:dyDescent="0.25">
      <c r="A19" s="4" t="s">
        <v>80</v>
      </c>
      <c r="B19" s="4">
        <v>19</v>
      </c>
    </row>
    <row r="20" spans="1:2" x14ac:dyDescent="0.25">
      <c r="A20" s="4" t="s">
        <v>81</v>
      </c>
      <c r="B20" s="4">
        <v>18</v>
      </c>
    </row>
    <row r="21" spans="1:2" x14ac:dyDescent="0.25">
      <c r="A21" s="4" t="s">
        <v>82</v>
      </c>
      <c r="B21" s="4">
        <v>18</v>
      </c>
    </row>
    <row r="22" spans="1:2" x14ac:dyDescent="0.25">
      <c r="A22" s="4" t="s">
        <v>83</v>
      </c>
      <c r="B22" s="4">
        <v>18</v>
      </c>
    </row>
    <row r="23" spans="1:2" x14ac:dyDescent="0.25">
      <c r="A23" s="4" t="s">
        <v>84</v>
      </c>
      <c r="B23" s="4">
        <v>18</v>
      </c>
    </row>
    <row r="24" spans="1:2" x14ac:dyDescent="0.25">
      <c r="A24" s="4" t="s">
        <v>85</v>
      </c>
      <c r="B24" s="4">
        <v>18</v>
      </c>
    </row>
    <row r="25" spans="1:2" x14ac:dyDescent="0.25">
      <c r="A25" s="4" t="s">
        <v>86</v>
      </c>
      <c r="B25" s="4">
        <v>17</v>
      </c>
    </row>
    <row r="26" spans="1:2" x14ac:dyDescent="0.25">
      <c r="A26" s="4" t="s">
        <v>87</v>
      </c>
      <c r="B26" s="4">
        <v>16</v>
      </c>
    </row>
    <row r="27" spans="1:2" x14ac:dyDescent="0.25">
      <c r="A27" s="4" t="s">
        <v>88</v>
      </c>
      <c r="B27" s="4">
        <v>15</v>
      </c>
    </row>
    <row r="28" spans="1:2" x14ac:dyDescent="0.25">
      <c r="A28" s="4" t="s">
        <v>89</v>
      </c>
      <c r="B28" s="4">
        <v>14</v>
      </c>
    </row>
    <row r="29" spans="1:2" x14ac:dyDescent="0.25">
      <c r="A29" s="4" t="s">
        <v>90</v>
      </c>
      <c r="B29" s="4">
        <v>14</v>
      </c>
    </row>
    <row r="30" spans="1:2" x14ac:dyDescent="0.25">
      <c r="A30" s="4" t="s">
        <v>91</v>
      </c>
      <c r="B30" s="4">
        <v>13</v>
      </c>
    </row>
    <row r="31" spans="1:2" x14ac:dyDescent="0.25">
      <c r="A31" s="4" t="s">
        <v>92</v>
      </c>
      <c r="B31" s="4">
        <v>12</v>
      </c>
    </row>
    <row r="32" spans="1:2" x14ac:dyDescent="0.25">
      <c r="A32" s="4" t="s">
        <v>93</v>
      </c>
      <c r="B32" s="4">
        <v>12</v>
      </c>
    </row>
    <row r="33" spans="1:2" x14ac:dyDescent="0.25">
      <c r="A33" s="4" t="s">
        <v>94</v>
      </c>
      <c r="B33" s="4">
        <v>12</v>
      </c>
    </row>
    <row r="34" spans="1:2" x14ac:dyDescent="0.25">
      <c r="A34" s="4" t="s">
        <v>95</v>
      </c>
      <c r="B34" s="4">
        <v>11</v>
      </c>
    </row>
    <row r="35" spans="1:2" x14ac:dyDescent="0.25">
      <c r="A35" s="4" t="s">
        <v>96</v>
      </c>
      <c r="B35" s="4">
        <v>11</v>
      </c>
    </row>
    <row r="36" spans="1:2" x14ac:dyDescent="0.25">
      <c r="A36" s="4" t="s">
        <v>97</v>
      </c>
      <c r="B36" s="4">
        <v>11</v>
      </c>
    </row>
    <row r="37" spans="1:2" x14ac:dyDescent="0.25">
      <c r="A37" s="4" t="s">
        <v>98</v>
      </c>
      <c r="B37" s="4">
        <v>11</v>
      </c>
    </row>
    <row r="38" spans="1:2" x14ac:dyDescent="0.25">
      <c r="A38" s="4" t="s">
        <v>99</v>
      </c>
      <c r="B38" s="4">
        <v>11</v>
      </c>
    </row>
    <row r="39" spans="1:2" x14ac:dyDescent="0.25">
      <c r="A39" s="4" t="s">
        <v>100</v>
      </c>
      <c r="B39" s="4">
        <v>10</v>
      </c>
    </row>
    <row r="40" spans="1:2" x14ac:dyDescent="0.25">
      <c r="A40" s="4" t="s">
        <v>101</v>
      </c>
      <c r="B40" s="4">
        <v>10</v>
      </c>
    </row>
    <row r="41" spans="1:2" x14ac:dyDescent="0.25">
      <c r="A41" s="4" t="s">
        <v>102</v>
      </c>
      <c r="B41" s="4">
        <v>10</v>
      </c>
    </row>
    <row r="42" spans="1:2" x14ac:dyDescent="0.25">
      <c r="A42" s="4" t="s">
        <v>103</v>
      </c>
      <c r="B42" s="4">
        <v>10</v>
      </c>
    </row>
    <row r="43" spans="1:2" x14ac:dyDescent="0.25">
      <c r="A43" s="4" t="s">
        <v>104</v>
      </c>
      <c r="B43" s="4">
        <v>10</v>
      </c>
    </row>
    <row r="44" spans="1:2" x14ac:dyDescent="0.25">
      <c r="A44" s="4" t="s">
        <v>105</v>
      </c>
      <c r="B44" s="4">
        <v>10</v>
      </c>
    </row>
    <row r="45" spans="1:2" x14ac:dyDescent="0.25">
      <c r="A45" s="4" t="s">
        <v>106</v>
      </c>
      <c r="B45" s="4">
        <v>10</v>
      </c>
    </row>
    <row r="46" spans="1:2" x14ac:dyDescent="0.25">
      <c r="A46" s="4" t="s">
        <v>107</v>
      </c>
      <c r="B46" s="4">
        <v>9</v>
      </c>
    </row>
    <row r="47" spans="1:2" x14ac:dyDescent="0.25">
      <c r="A47" s="4" t="s">
        <v>108</v>
      </c>
      <c r="B47" s="4">
        <v>9</v>
      </c>
    </row>
    <row r="48" spans="1:2" x14ac:dyDescent="0.25">
      <c r="A48" s="4" t="s">
        <v>109</v>
      </c>
      <c r="B48" s="4">
        <v>9</v>
      </c>
    </row>
    <row r="49" spans="1:2" x14ac:dyDescent="0.25">
      <c r="A49" s="4" t="s">
        <v>110</v>
      </c>
      <c r="B49" s="4">
        <v>9</v>
      </c>
    </row>
    <row r="50" spans="1:2" x14ac:dyDescent="0.25">
      <c r="A50" s="4" t="s">
        <v>111</v>
      </c>
      <c r="B50" s="4">
        <v>8</v>
      </c>
    </row>
    <row r="51" spans="1:2" x14ac:dyDescent="0.25">
      <c r="A51" s="4" t="s">
        <v>112</v>
      </c>
      <c r="B51" s="4">
        <v>8</v>
      </c>
    </row>
    <row r="52" spans="1:2" x14ac:dyDescent="0.25">
      <c r="A52" s="4" t="s">
        <v>113</v>
      </c>
      <c r="B52" s="4">
        <v>8</v>
      </c>
    </row>
    <row r="53" spans="1:2" x14ac:dyDescent="0.25">
      <c r="A53" s="4" t="s">
        <v>114</v>
      </c>
      <c r="B53" s="4">
        <v>8</v>
      </c>
    </row>
    <row r="54" spans="1:2" x14ac:dyDescent="0.25">
      <c r="A54" s="4" t="s">
        <v>115</v>
      </c>
      <c r="B54" s="4">
        <v>8</v>
      </c>
    </row>
    <row r="55" spans="1:2" x14ac:dyDescent="0.25">
      <c r="A55" s="4" t="s">
        <v>116</v>
      </c>
      <c r="B55" s="4">
        <v>8</v>
      </c>
    </row>
    <row r="56" spans="1:2" x14ac:dyDescent="0.25">
      <c r="A56" s="4" t="s">
        <v>117</v>
      </c>
      <c r="B56" s="4">
        <v>8</v>
      </c>
    </row>
    <row r="57" spans="1:2" x14ac:dyDescent="0.25">
      <c r="A57" s="4" t="s">
        <v>118</v>
      </c>
      <c r="B57" s="4">
        <v>8</v>
      </c>
    </row>
    <row r="58" spans="1:2" x14ac:dyDescent="0.25">
      <c r="A58" s="4" t="s">
        <v>119</v>
      </c>
      <c r="B58" s="4">
        <v>7</v>
      </c>
    </row>
    <row r="59" spans="1:2" x14ac:dyDescent="0.25">
      <c r="A59" s="4" t="s">
        <v>120</v>
      </c>
      <c r="B59" s="4">
        <v>7</v>
      </c>
    </row>
    <row r="60" spans="1:2" x14ac:dyDescent="0.25">
      <c r="A60" s="4" t="s">
        <v>121</v>
      </c>
      <c r="B60" s="4">
        <v>7</v>
      </c>
    </row>
    <row r="61" spans="1:2" x14ac:dyDescent="0.25">
      <c r="A61" s="4" t="s">
        <v>122</v>
      </c>
      <c r="B61" s="4">
        <v>7</v>
      </c>
    </row>
    <row r="62" spans="1:2" x14ac:dyDescent="0.25">
      <c r="A62" s="4" t="s">
        <v>123</v>
      </c>
      <c r="B62" s="4">
        <v>7</v>
      </c>
    </row>
    <row r="63" spans="1:2" x14ac:dyDescent="0.25">
      <c r="A63" s="4" t="s">
        <v>124</v>
      </c>
      <c r="B63" s="4">
        <v>7</v>
      </c>
    </row>
    <row r="64" spans="1:2" x14ac:dyDescent="0.25">
      <c r="A64" s="4" t="s">
        <v>125</v>
      </c>
      <c r="B64" s="4">
        <v>7</v>
      </c>
    </row>
    <row r="65" spans="1:2" x14ac:dyDescent="0.25">
      <c r="A65" s="4" t="s">
        <v>126</v>
      </c>
      <c r="B65" s="4">
        <v>7</v>
      </c>
    </row>
    <row r="66" spans="1:2" x14ac:dyDescent="0.25">
      <c r="A66" s="4" t="s">
        <v>127</v>
      </c>
      <c r="B66" s="4">
        <v>7</v>
      </c>
    </row>
    <row r="67" spans="1:2" x14ac:dyDescent="0.25">
      <c r="A67" s="4" t="s">
        <v>128</v>
      </c>
      <c r="B67" s="4">
        <v>6</v>
      </c>
    </row>
    <row r="68" spans="1:2" x14ac:dyDescent="0.25">
      <c r="A68" s="4" t="s">
        <v>129</v>
      </c>
      <c r="B68" s="4">
        <v>6</v>
      </c>
    </row>
    <row r="69" spans="1:2" x14ac:dyDescent="0.25">
      <c r="A69" s="4" t="s">
        <v>130</v>
      </c>
      <c r="B69" s="4">
        <v>6</v>
      </c>
    </row>
    <row r="70" spans="1:2" x14ac:dyDescent="0.25">
      <c r="A70" s="4" t="s">
        <v>131</v>
      </c>
      <c r="B70" s="4">
        <v>6</v>
      </c>
    </row>
    <row r="71" spans="1:2" x14ac:dyDescent="0.25">
      <c r="A71" s="4" t="s">
        <v>132</v>
      </c>
      <c r="B71" s="4">
        <v>6</v>
      </c>
    </row>
    <row r="72" spans="1:2" x14ac:dyDescent="0.25">
      <c r="A72" s="4" t="s">
        <v>133</v>
      </c>
      <c r="B72" s="4">
        <v>6</v>
      </c>
    </row>
    <row r="73" spans="1:2" x14ac:dyDescent="0.25">
      <c r="A73" s="4" t="s">
        <v>134</v>
      </c>
      <c r="B73" s="4">
        <v>6</v>
      </c>
    </row>
    <row r="74" spans="1:2" x14ac:dyDescent="0.25">
      <c r="A74" s="4" t="s">
        <v>135</v>
      </c>
      <c r="B74" s="4">
        <v>6</v>
      </c>
    </row>
    <row r="75" spans="1:2" x14ac:dyDescent="0.25">
      <c r="A75" s="4" t="s">
        <v>136</v>
      </c>
      <c r="B75" s="4">
        <v>6</v>
      </c>
    </row>
    <row r="76" spans="1:2" x14ac:dyDescent="0.25">
      <c r="A76" s="4" t="s">
        <v>137</v>
      </c>
      <c r="B76" s="4">
        <v>6</v>
      </c>
    </row>
    <row r="77" spans="1:2" x14ac:dyDescent="0.25">
      <c r="A77" s="4" t="s">
        <v>138</v>
      </c>
      <c r="B77" s="4">
        <v>6</v>
      </c>
    </row>
    <row r="78" spans="1:2" x14ac:dyDescent="0.25">
      <c r="A78" s="4" t="s">
        <v>139</v>
      </c>
      <c r="B78" s="4">
        <v>6</v>
      </c>
    </row>
    <row r="79" spans="1:2" x14ac:dyDescent="0.25">
      <c r="A79" s="4" t="s">
        <v>140</v>
      </c>
      <c r="B79" s="4">
        <v>6</v>
      </c>
    </row>
    <row r="80" spans="1:2" x14ac:dyDescent="0.25">
      <c r="A80" s="4" t="s">
        <v>141</v>
      </c>
      <c r="B80" s="4">
        <v>6</v>
      </c>
    </row>
    <row r="81" spans="1:2" x14ac:dyDescent="0.25">
      <c r="A81" s="4" t="s">
        <v>142</v>
      </c>
      <c r="B81" s="4">
        <v>6</v>
      </c>
    </row>
    <row r="82" spans="1:2" x14ac:dyDescent="0.25">
      <c r="A82" s="4" t="s">
        <v>143</v>
      </c>
      <c r="B82" s="4">
        <v>6</v>
      </c>
    </row>
    <row r="83" spans="1:2" x14ac:dyDescent="0.25">
      <c r="A83" s="4" t="s">
        <v>144</v>
      </c>
      <c r="B83" s="4">
        <v>6</v>
      </c>
    </row>
    <row r="84" spans="1:2" x14ac:dyDescent="0.25">
      <c r="A84" s="4" t="s">
        <v>145</v>
      </c>
      <c r="B84" s="4">
        <v>6</v>
      </c>
    </row>
    <row r="85" spans="1:2" x14ac:dyDescent="0.25">
      <c r="A85" s="4" t="s">
        <v>146</v>
      </c>
      <c r="B85" s="4">
        <v>6</v>
      </c>
    </row>
    <row r="86" spans="1:2" x14ac:dyDescent="0.25">
      <c r="A86" s="4" t="s">
        <v>147</v>
      </c>
      <c r="B86" s="4">
        <v>6</v>
      </c>
    </row>
    <row r="87" spans="1:2" x14ac:dyDescent="0.25">
      <c r="A87" s="4" t="s">
        <v>148</v>
      </c>
      <c r="B87" s="4">
        <v>6</v>
      </c>
    </row>
    <row r="88" spans="1:2" x14ac:dyDescent="0.25">
      <c r="A88" s="4" t="s">
        <v>149</v>
      </c>
      <c r="B88" s="4">
        <v>6</v>
      </c>
    </row>
    <row r="89" spans="1:2" x14ac:dyDescent="0.25">
      <c r="A89" s="4" t="s">
        <v>150</v>
      </c>
      <c r="B89" s="4">
        <v>6</v>
      </c>
    </row>
    <row r="90" spans="1:2" x14ac:dyDescent="0.25">
      <c r="A90" s="4" t="s">
        <v>151</v>
      </c>
      <c r="B90" s="4">
        <v>6</v>
      </c>
    </row>
    <row r="91" spans="1:2" x14ac:dyDescent="0.25">
      <c r="A91" s="4" t="s">
        <v>152</v>
      </c>
      <c r="B91" s="4">
        <v>6</v>
      </c>
    </row>
    <row r="92" spans="1:2" x14ac:dyDescent="0.25">
      <c r="A92" s="4" t="s">
        <v>153</v>
      </c>
      <c r="B92" s="4">
        <v>6</v>
      </c>
    </row>
    <row r="93" spans="1:2" x14ac:dyDescent="0.25">
      <c r="A93" s="4" t="s">
        <v>154</v>
      </c>
      <c r="B93" s="4">
        <v>6</v>
      </c>
    </row>
    <row r="94" spans="1:2" x14ac:dyDescent="0.25">
      <c r="A94" s="4" t="s">
        <v>155</v>
      </c>
      <c r="B94" s="4">
        <v>6</v>
      </c>
    </row>
    <row r="95" spans="1:2" x14ac:dyDescent="0.25">
      <c r="A95" s="4" t="s">
        <v>156</v>
      </c>
      <c r="B95" s="4">
        <v>6</v>
      </c>
    </row>
    <row r="96" spans="1:2" x14ac:dyDescent="0.25">
      <c r="A96" s="4" t="s">
        <v>157</v>
      </c>
      <c r="B96" s="4">
        <v>6</v>
      </c>
    </row>
    <row r="97" spans="1:2" x14ac:dyDescent="0.25">
      <c r="A97" s="4" t="s">
        <v>158</v>
      </c>
      <c r="B97" s="4">
        <v>5</v>
      </c>
    </row>
    <row r="98" spans="1:2" x14ac:dyDescent="0.25">
      <c r="A98" s="4" t="s">
        <v>159</v>
      </c>
      <c r="B98" s="4">
        <v>5</v>
      </c>
    </row>
    <row r="99" spans="1:2" x14ac:dyDescent="0.25">
      <c r="A99" s="4" t="s">
        <v>160</v>
      </c>
      <c r="B99" s="4">
        <v>5</v>
      </c>
    </row>
    <row r="100" spans="1:2" x14ac:dyDescent="0.25">
      <c r="A100" s="4" t="s">
        <v>161</v>
      </c>
      <c r="B100" s="4">
        <v>5</v>
      </c>
    </row>
    <row r="101" spans="1:2" x14ac:dyDescent="0.25">
      <c r="A101" s="4" t="s">
        <v>162</v>
      </c>
      <c r="B101" s="4">
        <v>5</v>
      </c>
    </row>
    <row r="102" spans="1:2" x14ac:dyDescent="0.25">
      <c r="A102" s="4" t="s">
        <v>163</v>
      </c>
      <c r="B102" s="4">
        <v>5</v>
      </c>
    </row>
    <row r="103" spans="1:2" x14ac:dyDescent="0.25">
      <c r="A103" s="4" t="s">
        <v>164</v>
      </c>
      <c r="B103" s="4">
        <v>5</v>
      </c>
    </row>
    <row r="104" spans="1:2" x14ac:dyDescent="0.25">
      <c r="A104" s="4" t="s">
        <v>165</v>
      </c>
      <c r="B104" s="4">
        <v>5</v>
      </c>
    </row>
    <row r="105" spans="1:2" x14ac:dyDescent="0.25">
      <c r="A105" s="4" t="s">
        <v>166</v>
      </c>
      <c r="B105" s="4">
        <v>5</v>
      </c>
    </row>
    <row r="106" spans="1:2" x14ac:dyDescent="0.25">
      <c r="A106" s="4" t="s">
        <v>167</v>
      </c>
      <c r="B106" s="4">
        <v>5</v>
      </c>
    </row>
    <row r="107" spans="1:2" x14ac:dyDescent="0.25">
      <c r="A107" s="4" t="s">
        <v>168</v>
      </c>
      <c r="B107" s="4">
        <v>5</v>
      </c>
    </row>
    <row r="108" spans="1:2" x14ac:dyDescent="0.25">
      <c r="A108" s="4" t="s">
        <v>169</v>
      </c>
      <c r="B108" s="4">
        <v>5</v>
      </c>
    </row>
    <row r="109" spans="1:2" x14ac:dyDescent="0.25">
      <c r="A109" s="4" t="s">
        <v>170</v>
      </c>
      <c r="B109" s="4">
        <v>5</v>
      </c>
    </row>
    <row r="110" spans="1:2" x14ac:dyDescent="0.25">
      <c r="A110" s="4" t="s">
        <v>171</v>
      </c>
      <c r="B110" s="4">
        <v>5</v>
      </c>
    </row>
    <row r="111" spans="1:2" x14ac:dyDescent="0.25">
      <c r="A111" s="4" t="s">
        <v>172</v>
      </c>
      <c r="B111" s="4">
        <v>5</v>
      </c>
    </row>
    <row r="112" spans="1:2" x14ac:dyDescent="0.25">
      <c r="A112" s="4" t="s">
        <v>173</v>
      </c>
      <c r="B112" s="4">
        <v>5</v>
      </c>
    </row>
    <row r="113" spans="1:2" x14ac:dyDescent="0.25">
      <c r="A113" s="4" t="s">
        <v>174</v>
      </c>
      <c r="B113" s="4">
        <v>4</v>
      </c>
    </row>
    <row r="114" spans="1:2" x14ac:dyDescent="0.25">
      <c r="A114" s="4" t="s">
        <v>175</v>
      </c>
      <c r="B114" s="4">
        <v>4</v>
      </c>
    </row>
    <row r="115" spans="1:2" x14ac:dyDescent="0.25">
      <c r="A115" s="4" t="s">
        <v>176</v>
      </c>
      <c r="B115" s="4">
        <v>4</v>
      </c>
    </row>
    <row r="116" spans="1:2" x14ac:dyDescent="0.25">
      <c r="A116" s="4" t="s">
        <v>177</v>
      </c>
      <c r="B116" s="4">
        <v>4</v>
      </c>
    </row>
    <row r="117" spans="1:2" x14ac:dyDescent="0.25">
      <c r="A117" s="4" t="s">
        <v>178</v>
      </c>
      <c r="B117" s="4">
        <v>4</v>
      </c>
    </row>
    <row r="118" spans="1:2" x14ac:dyDescent="0.25">
      <c r="A118" s="4" t="s">
        <v>179</v>
      </c>
      <c r="B118" s="4">
        <v>4</v>
      </c>
    </row>
    <row r="119" spans="1:2" x14ac:dyDescent="0.25">
      <c r="A119" s="4" t="s">
        <v>180</v>
      </c>
      <c r="B119" s="4">
        <v>4</v>
      </c>
    </row>
    <row r="120" spans="1:2" x14ac:dyDescent="0.25">
      <c r="A120" s="4" t="s">
        <v>181</v>
      </c>
      <c r="B120" s="4">
        <v>4</v>
      </c>
    </row>
    <row r="121" spans="1:2" x14ac:dyDescent="0.25">
      <c r="A121" s="4" t="s">
        <v>182</v>
      </c>
      <c r="B121" s="4">
        <v>4</v>
      </c>
    </row>
    <row r="122" spans="1:2" x14ac:dyDescent="0.25">
      <c r="A122" s="4" t="s">
        <v>183</v>
      </c>
      <c r="B122" s="4">
        <v>4</v>
      </c>
    </row>
    <row r="123" spans="1:2" x14ac:dyDescent="0.25">
      <c r="A123" s="4" t="s">
        <v>184</v>
      </c>
      <c r="B123" s="4">
        <v>4</v>
      </c>
    </row>
    <row r="124" spans="1:2" x14ac:dyDescent="0.25">
      <c r="A124" s="4" t="s">
        <v>185</v>
      </c>
      <c r="B124" s="4">
        <v>4</v>
      </c>
    </row>
    <row r="125" spans="1:2" x14ac:dyDescent="0.25">
      <c r="A125" s="4" t="s">
        <v>186</v>
      </c>
      <c r="B125" s="4">
        <v>4</v>
      </c>
    </row>
    <row r="126" spans="1:2" x14ac:dyDescent="0.25">
      <c r="A126" s="4" t="s">
        <v>187</v>
      </c>
      <c r="B126" s="4">
        <v>4</v>
      </c>
    </row>
    <row r="127" spans="1:2" x14ac:dyDescent="0.25">
      <c r="A127" s="4" t="s">
        <v>188</v>
      </c>
      <c r="B127" s="4">
        <v>4</v>
      </c>
    </row>
    <row r="128" spans="1:2" x14ac:dyDescent="0.25">
      <c r="A128" s="4" t="s">
        <v>189</v>
      </c>
      <c r="B128" s="4">
        <v>3</v>
      </c>
    </row>
    <row r="129" spans="1:2" x14ac:dyDescent="0.25">
      <c r="A129" s="4" t="s">
        <v>190</v>
      </c>
      <c r="B129" s="4">
        <v>3</v>
      </c>
    </row>
    <row r="130" spans="1:2" x14ac:dyDescent="0.25">
      <c r="A130" s="4" t="s">
        <v>191</v>
      </c>
      <c r="B130" s="4">
        <v>3</v>
      </c>
    </row>
    <row r="131" spans="1:2" x14ac:dyDescent="0.25">
      <c r="A131" s="4" t="s">
        <v>192</v>
      </c>
      <c r="B131" s="4">
        <v>3</v>
      </c>
    </row>
    <row r="132" spans="1:2" x14ac:dyDescent="0.25">
      <c r="A132" s="4" t="s">
        <v>193</v>
      </c>
      <c r="B132" s="4">
        <v>3</v>
      </c>
    </row>
    <row r="133" spans="1:2" x14ac:dyDescent="0.25">
      <c r="A133" s="4" t="s">
        <v>194</v>
      </c>
      <c r="B133" s="4">
        <v>3</v>
      </c>
    </row>
    <row r="134" spans="1:2" x14ac:dyDescent="0.25">
      <c r="A134" s="4" t="s">
        <v>195</v>
      </c>
      <c r="B134" s="4">
        <v>3</v>
      </c>
    </row>
    <row r="135" spans="1:2" x14ac:dyDescent="0.25">
      <c r="A135" s="4" t="s">
        <v>196</v>
      </c>
      <c r="B135" s="4">
        <v>3</v>
      </c>
    </row>
    <row r="136" spans="1:2" x14ac:dyDescent="0.25">
      <c r="A136" s="4" t="s">
        <v>197</v>
      </c>
      <c r="B136" s="4">
        <v>3</v>
      </c>
    </row>
    <row r="137" spans="1:2" x14ac:dyDescent="0.25">
      <c r="A137" s="4" t="s">
        <v>198</v>
      </c>
      <c r="B137" s="4">
        <v>3</v>
      </c>
    </row>
    <row r="138" spans="1:2" x14ac:dyDescent="0.25">
      <c r="A138" s="4" t="s">
        <v>199</v>
      </c>
      <c r="B138" s="4">
        <v>3</v>
      </c>
    </row>
    <row r="139" spans="1:2" x14ac:dyDescent="0.25">
      <c r="A139" s="4" t="s">
        <v>200</v>
      </c>
      <c r="B139" s="4">
        <v>3</v>
      </c>
    </row>
    <row r="140" spans="1:2" x14ac:dyDescent="0.25">
      <c r="A140" s="4" t="s">
        <v>201</v>
      </c>
      <c r="B140" s="4">
        <v>3</v>
      </c>
    </row>
    <row r="141" spans="1:2" x14ac:dyDescent="0.25">
      <c r="A141" s="4" t="s">
        <v>202</v>
      </c>
      <c r="B141" s="4">
        <v>3</v>
      </c>
    </row>
    <row r="142" spans="1:2" x14ac:dyDescent="0.25">
      <c r="A142" s="4" t="s">
        <v>203</v>
      </c>
      <c r="B142" s="4">
        <v>3</v>
      </c>
    </row>
    <row r="143" spans="1:2" x14ac:dyDescent="0.25">
      <c r="A143" s="4" t="s">
        <v>204</v>
      </c>
      <c r="B143" s="4">
        <v>3</v>
      </c>
    </row>
    <row r="144" spans="1:2" x14ac:dyDescent="0.25">
      <c r="A144" s="4" t="s">
        <v>205</v>
      </c>
      <c r="B144" s="4">
        <v>3</v>
      </c>
    </row>
    <row r="145" spans="1:2" x14ac:dyDescent="0.25">
      <c r="A145" s="4" t="s">
        <v>206</v>
      </c>
      <c r="B145" s="4">
        <v>3</v>
      </c>
    </row>
    <row r="146" spans="1:2" x14ac:dyDescent="0.25">
      <c r="A146" s="4" t="s">
        <v>207</v>
      </c>
      <c r="B146" s="4">
        <v>3</v>
      </c>
    </row>
    <row r="147" spans="1:2" x14ac:dyDescent="0.25">
      <c r="A147" s="4" t="s">
        <v>208</v>
      </c>
      <c r="B147" s="4">
        <v>3</v>
      </c>
    </row>
    <row r="148" spans="1:2" x14ac:dyDescent="0.25">
      <c r="A148" s="4" t="s">
        <v>209</v>
      </c>
      <c r="B148" s="4">
        <v>3</v>
      </c>
    </row>
    <row r="149" spans="1:2" x14ac:dyDescent="0.25">
      <c r="A149" s="4" t="s">
        <v>210</v>
      </c>
      <c r="B149" s="4">
        <v>3</v>
      </c>
    </row>
    <row r="150" spans="1:2" x14ac:dyDescent="0.25">
      <c r="A150" s="4" t="s">
        <v>211</v>
      </c>
      <c r="B150" s="4">
        <v>3</v>
      </c>
    </row>
    <row r="151" spans="1:2" x14ac:dyDescent="0.25">
      <c r="A151" s="4" t="s">
        <v>212</v>
      </c>
      <c r="B151" s="4">
        <v>3</v>
      </c>
    </row>
    <row r="152" spans="1:2" x14ac:dyDescent="0.25">
      <c r="A152" s="4" t="s">
        <v>213</v>
      </c>
      <c r="B152" s="4">
        <v>2</v>
      </c>
    </row>
    <row r="153" spans="1:2" x14ac:dyDescent="0.25">
      <c r="A153" s="4" t="s">
        <v>214</v>
      </c>
      <c r="B153" s="4">
        <v>2</v>
      </c>
    </row>
    <row r="154" spans="1:2" x14ac:dyDescent="0.25">
      <c r="A154" s="4" t="s">
        <v>215</v>
      </c>
      <c r="B154" s="4">
        <v>2</v>
      </c>
    </row>
    <row r="155" spans="1:2" x14ac:dyDescent="0.25">
      <c r="A155" s="4" t="s">
        <v>216</v>
      </c>
      <c r="B155" s="4">
        <v>2</v>
      </c>
    </row>
    <row r="156" spans="1:2" x14ac:dyDescent="0.25">
      <c r="A156" s="4" t="s">
        <v>217</v>
      </c>
      <c r="B156" s="4">
        <v>2</v>
      </c>
    </row>
    <row r="157" spans="1:2" x14ac:dyDescent="0.25">
      <c r="A157" s="4" t="s">
        <v>218</v>
      </c>
      <c r="B157" s="4">
        <v>2</v>
      </c>
    </row>
    <row r="158" spans="1:2" x14ac:dyDescent="0.25">
      <c r="A158" s="4" t="s">
        <v>219</v>
      </c>
      <c r="B158" s="4">
        <v>2</v>
      </c>
    </row>
    <row r="159" spans="1:2" x14ac:dyDescent="0.25">
      <c r="A159" s="4" t="s">
        <v>220</v>
      </c>
      <c r="B159" s="4">
        <v>2</v>
      </c>
    </row>
    <row r="160" spans="1:2" x14ac:dyDescent="0.25">
      <c r="A160" s="4" t="s">
        <v>221</v>
      </c>
      <c r="B160" s="4">
        <v>2</v>
      </c>
    </row>
    <row r="161" spans="1:2" x14ac:dyDescent="0.25">
      <c r="A161" s="4" t="s">
        <v>222</v>
      </c>
      <c r="B161" s="4">
        <v>2</v>
      </c>
    </row>
    <row r="162" spans="1:2" x14ac:dyDescent="0.25">
      <c r="A162" s="4" t="s">
        <v>223</v>
      </c>
      <c r="B162" s="4">
        <v>2</v>
      </c>
    </row>
    <row r="163" spans="1:2" x14ac:dyDescent="0.25">
      <c r="A163" s="4" t="s">
        <v>224</v>
      </c>
      <c r="B163" s="4">
        <v>2</v>
      </c>
    </row>
    <row r="164" spans="1:2" x14ac:dyDescent="0.25">
      <c r="A164" s="4" t="s">
        <v>225</v>
      </c>
      <c r="B164" s="4">
        <v>2</v>
      </c>
    </row>
    <row r="165" spans="1:2" x14ac:dyDescent="0.25">
      <c r="A165" s="4" t="s">
        <v>226</v>
      </c>
      <c r="B165" s="4">
        <v>2</v>
      </c>
    </row>
    <row r="166" spans="1:2" x14ac:dyDescent="0.25">
      <c r="A166" s="4" t="s">
        <v>227</v>
      </c>
      <c r="B166" s="4">
        <v>2</v>
      </c>
    </row>
    <row r="167" spans="1:2" x14ac:dyDescent="0.25">
      <c r="A167" s="4" t="s">
        <v>228</v>
      </c>
      <c r="B167" s="4">
        <v>2</v>
      </c>
    </row>
    <row r="168" spans="1:2" x14ac:dyDescent="0.25">
      <c r="A168" s="4" t="s">
        <v>229</v>
      </c>
      <c r="B168" s="4">
        <v>2</v>
      </c>
    </row>
    <row r="169" spans="1:2" x14ac:dyDescent="0.25">
      <c r="A169" s="4" t="s">
        <v>230</v>
      </c>
      <c r="B169" s="4">
        <v>2</v>
      </c>
    </row>
    <row r="170" spans="1:2" x14ac:dyDescent="0.25">
      <c r="A170" s="4" t="s">
        <v>231</v>
      </c>
      <c r="B170" s="4">
        <v>2</v>
      </c>
    </row>
    <row r="171" spans="1:2" x14ac:dyDescent="0.25">
      <c r="A171" s="4" t="s">
        <v>232</v>
      </c>
      <c r="B171" s="4">
        <v>2</v>
      </c>
    </row>
    <row r="172" spans="1:2" x14ac:dyDescent="0.25">
      <c r="A172" s="4" t="s">
        <v>233</v>
      </c>
      <c r="B172" s="4">
        <v>2</v>
      </c>
    </row>
    <row r="173" spans="1:2" x14ac:dyDescent="0.25">
      <c r="A173" s="4" t="s">
        <v>234</v>
      </c>
      <c r="B173" s="4">
        <v>2</v>
      </c>
    </row>
    <row r="174" spans="1:2" x14ac:dyDescent="0.25">
      <c r="A174" s="4" t="s">
        <v>235</v>
      </c>
      <c r="B174" s="4">
        <v>2</v>
      </c>
    </row>
    <row r="175" spans="1:2" x14ac:dyDescent="0.25">
      <c r="A175" s="4" t="s">
        <v>236</v>
      </c>
      <c r="B175" s="4">
        <v>2</v>
      </c>
    </row>
    <row r="176" spans="1:2" x14ac:dyDescent="0.25">
      <c r="A176" s="4" t="s">
        <v>237</v>
      </c>
      <c r="B176" s="4">
        <v>2</v>
      </c>
    </row>
    <row r="177" spans="1:2" x14ac:dyDescent="0.25">
      <c r="A177" s="4" t="s">
        <v>238</v>
      </c>
      <c r="B177" s="4">
        <v>2</v>
      </c>
    </row>
    <row r="178" spans="1:2" x14ac:dyDescent="0.25">
      <c r="A178" s="4" t="s">
        <v>239</v>
      </c>
      <c r="B178" s="4">
        <v>2</v>
      </c>
    </row>
    <row r="179" spans="1:2" x14ac:dyDescent="0.25">
      <c r="A179" s="4" t="s">
        <v>240</v>
      </c>
      <c r="B179" s="4">
        <v>2</v>
      </c>
    </row>
    <row r="180" spans="1:2" x14ac:dyDescent="0.25">
      <c r="A180" s="4" t="s">
        <v>241</v>
      </c>
      <c r="B180" s="4">
        <v>2</v>
      </c>
    </row>
    <row r="181" spans="1:2" x14ac:dyDescent="0.25">
      <c r="A181" s="4" t="s">
        <v>242</v>
      </c>
      <c r="B181" s="4">
        <v>2</v>
      </c>
    </row>
    <row r="182" spans="1:2" x14ac:dyDescent="0.25">
      <c r="A182" s="4" t="s">
        <v>243</v>
      </c>
      <c r="B182" s="4">
        <v>2</v>
      </c>
    </row>
    <row r="183" spans="1:2" x14ac:dyDescent="0.25">
      <c r="A183" s="4" t="s">
        <v>244</v>
      </c>
      <c r="B183" s="4">
        <v>2</v>
      </c>
    </row>
    <row r="184" spans="1:2" x14ac:dyDescent="0.25">
      <c r="A184" s="4" t="s">
        <v>245</v>
      </c>
      <c r="B184" s="4">
        <v>2</v>
      </c>
    </row>
    <row r="185" spans="1:2" x14ac:dyDescent="0.25">
      <c r="A185" s="4" t="s">
        <v>246</v>
      </c>
      <c r="B185" s="4">
        <v>2</v>
      </c>
    </row>
    <row r="186" spans="1:2" x14ac:dyDescent="0.25">
      <c r="A186" s="4" t="s">
        <v>247</v>
      </c>
      <c r="B186" s="4">
        <v>2</v>
      </c>
    </row>
    <row r="187" spans="1:2" x14ac:dyDescent="0.25">
      <c r="A187" s="4" t="s">
        <v>248</v>
      </c>
      <c r="B187" s="4">
        <v>2</v>
      </c>
    </row>
    <row r="188" spans="1:2" x14ac:dyDescent="0.25">
      <c r="A188" s="4" t="s">
        <v>249</v>
      </c>
      <c r="B188" s="4">
        <v>2</v>
      </c>
    </row>
    <row r="189" spans="1:2" x14ac:dyDescent="0.25">
      <c r="A189" s="4" t="s">
        <v>250</v>
      </c>
      <c r="B189" s="4">
        <v>2</v>
      </c>
    </row>
    <row r="190" spans="1:2" x14ac:dyDescent="0.25">
      <c r="A190" s="4" t="s">
        <v>251</v>
      </c>
      <c r="B190" s="4">
        <v>2</v>
      </c>
    </row>
    <row r="191" spans="1:2" x14ac:dyDescent="0.25">
      <c r="A191" s="4" t="s">
        <v>252</v>
      </c>
      <c r="B191" s="4">
        <v>2</v>
      </c>
    </row>
    <row r="192" spans="1:2" x14ac:dyDescent="0.25">
      <c r="A192" s="4" t="s">
        <v>253</v>
      </c>
      <c r="B192" s="4">
        <v>2</v>
      </c>
    </row>
    <row r="193" spans="1:2" x14ac:dyDescent="0.25">
      <c r="A193" s="4" t="s">
        <v>254</v>
      </c>
      <c r="B193" s="4">
        <v>2</v>
      </c>
    </row>
    <row r="194" spans="1:2" x14ac:dyDescent="0.25">
      <c r="A194" s="4" t="s">
        <v>255</v>
      </c>
      <c r="B194" s="4">
        <v>2</v>
      </c>
    </row>
    <row r="195" spans="1:2" x14ac:dyDescent="0.25">
      <c r="A195" s="4" t="s">
        <v>256</v>
      </c>
      <c r="B195" s="4">
        <v>2</v>
      </c>
    </row>
    <row r="196" spans="1:2" x14ac:dyDescent="0.25">
      <c r="A196" s="4" t="s">
        <v>257</v>
      </c>
      <c r="B196" s="4">
        <v>2</v>
      </c>
    </row>
    <row r="197" spans="1:2" x14ac:dyDescent="0.25">
      <c r="A197" s="4" t="s">
        <v>258</v>
      </c>
      <c r="B197" s="4">
        <v>2</v>
      </c>
    </row>
    <row r="198" spans="1:2" x14ac:dyDescent="0.25">
      <c r="A198" s="4" t="s">
        <v>259</v>
      </c>
      <c r="B198" s="4">
        <v>2</v>
      </c>
    </row>
    <row r="199" spans="1:2" x14ac:dyDescent="0.25">
      <c r="A199" s="4" t="s">
        <v>260</v>
      </c>
      <c r="B199" s="4">
        <v>2</v>
      </c>
    </row>
    <row r="200" spans="1:2" x14ac:dyDescent="0.25">
      <c r="A200" s="4" t="s">
        <v>261</v>
      </c>
      <c r="B200" s="4">
        <v>2</v>
      </c>
    </row>
    <row r="201" spans="1:2" x14ac:dyDescent="0.25">
      <c r="A201" s="4" t="s">
        <v>262</v>
      </c>
      <c r="B201" s="4">
        <v>2</v>
      </c>
    </row>
    <row r="202" spans="1:2" x14ac:dyDescent="0.25">
      <c r="A202" s="4" t="s">
        <v>263</v>
      </c>
      <c r="B202" s="4">
        <v>2</v>
      </c>
    </row>
    <row r="203" spans="1:2" x14ac:dyDescent="0.25">
      <c r="A203" s="4" t="s">
        <v>264</v>
      </c>
      <c r="B203" s="4">
        <v>2</v>
      </c>
    </row>
    <row r="204" spans="1:2" x14ac:dyDescent="0.25">
      <c r="A204" s="4" t="s">
        <v>265</v>
      </c>
      <c r="B204" s="4">
        <v>2</v>
      </c>
    </row>
    <row r="205" spans="1:2" x14ac:dyDescent="0.25">
      <c r="A205" s="4" t="s">
        <v>266</v>
      </c>
      <c r="B205" s="4">
        <v>1</v>
      </c>
    </row>
    <row r="206" spans="1:2" x14ac:dyDescent="0.25">
      <c r="A206" s="4" t="s">
        <v>267</v>
      </c>
      <c r="B206" s="4">
        <v>1</v>
      </c>
    </row>
    <row r="207" spans="1:2" x14ac:dyDescent="0.25">
      <c r="A207" s="4" t="s">
        <v>268</v>
      </c>
      <c r="B207" s="4">
        <v>1</v>
      </c>
    </row>
    <row r="208" spans="1:2" x14ac:dyDescent="0.25">
      <c r="A208" s="4" t="s">
        <v>269</v>
      </c>
      <c r="B208" s="4">
        <v>1</v>
      </c>
    </row>
    <row r="209" spans="1:2" x14ac:dyDescent="0.25">
      <c r="A209" s="4" t="s">
        <v>270</v>
      </c>
      <c r="B209" s="4">
        <v>1</v>
      </c>
    </row>
    <row r="210" spans="1:2" x14ac:dyDescent="0.25">
      <c r="A210" s="4" t="s">
        <v>271</v>
      </c>
      <c r="B210" s="4">
        <v>1</v>
      </c>
    </row>
    <row r="211" spans="1:2" x14ac:dyDescent="0.25">
      <c r="A211" s="4" t="s">
        <v>272</v>
      </c>
      <c r="B211" s="4">
        <v>1</v>
      </c>
    </row>
    <row r="212" spans="1:2" x14ac:dyDescent="0.25">
      <c r="A212" s="4" t="s">
        <v>273</v>
      </c>
      <c r="B212" s="4">
        <v>1</v>
      </c>
    </row>
    <row r="213" spans="1:2" x14ac:dyDescent="0.25">
      <c r="A213" s="4" t="s">
        <v>274</v>
      </c>
      <c r="B213" s="4">
        <v>1</v>
      </c>
    </row>
    <row r="214" spans="1:2" x14ac:dyDescent="0.25">
      <c r="A214" s="4" t="s">
        <v>275</v>
      </c>
      <c r="B214" s="4">
        <v>1</v>
      </c>
    </row>
    <row r="215" spans="1:2" x14ac:dyDescent="0.25">
      <c r="A215" s="4" t="s">
        <v>276</v>
      </c>
      <c r="B215" s="4">
        <v>1</v>
      </c>
    </row>
    <row r="216" spans="1:2" x14ac:dyDescent="0.25">
      <c r="A216" s="4" t="s">
        <v>277</v>
      </c>
      <c r="B216" s="4">
        <v>1</v>
      </c>
    </row>
    <row r="217" spans="1:2" x14ac:dyDescent="0.25">
      <c r="A217" s="4" t="s">
        <v>278</v>
      </c>
      <c r="B217" s="4">
        <v>1</v>
      </c>
    </row>
    <row r="218" spans="1:2" x14ac:dyDescent="0.25">
      <c r="A218" s="4" t="s">
        <v>279</v>
      </c>
      <c r="B218" s="4">
        <v>1</v>
      </c>
    </row>
    <row r="219" spans="1:2" x14ac:dyDescent="0.25">
      <c r="A219" s="4" t="s">
        <v>280</v>
      </c>
      <c r="B219" s="4">
        <v>1</v>
      </c>
    </row>
    <row r="220" spans="1:2" x14ac:dyDescent="0.25">
      <c r="A220" s="4" t="s">
        <v>281</v>
      </c>
      <c r="B220" s="4">
        <v>1</v>
      </c>
    </row>
    <row r="221" spans="1:2" x14ac:dyDescent="0.25">
      <c r="A221" s="4" t="s">
        <v>282</v>
      </c>
      <c r="B221" s="4">
        <v>1</v>
      </c>
    </row>
    <row r="222" spans="1:2" x14ac:dyDescent="0.25">
      <c r="A222" s="4" t="s">
        <v>283</v>
      </c>
      <c r="B222" s="4">
        <v>1</v>
      </c>
    </row>
    <row r="223" spans="1:2" x14ac:dyDescent="0.25">
      <c r="A223" s="4" t="s">
        <v>284</v>
      </c>
      <c r="B223" s="4">
        <v>1</v>
      </c>
    </row>
    <row r="224" spans="1:2" x14ac:dyDescent="0.25">
      <c r="A224" s="4" t="s">
        <v>285</v>
      </c>
      <c r="B224" s="4">
        <v>1</v>
      </c>
    </row>
    <row r="225" spans="1:2" x14ac:dyDescent="0.25">
      <c r="A225" s="4" t="s">
        <v>286</v>
      </c>
      <c r="B225" s="4">
        <v>1</v>
      </c>
    </row>
    <row r="226" spans="1:2" x14ac:dyDescent="0.25">
      <c r="A226" s="4" t="s">
        <v>287</v>
      </c>
      <c r="B226" s="4">
        <v>1</v>
      </c>
    </row>
    <row r="227" spans="1:2" x14ac:dyDescent="0.25">
      <c r="A227" s="4" t="s">
        <v>288</v>
      </c>
      <c r="B227" s="4">
        <v>1</v>
      </c>
    </row>
    <row r="228" spans="1:2" x14ac:dyDescent="0.25">
      <c r="A228" s="4" t="s">
        <v>289</v>
      </c>
      <c r="B228" s="4">
        <v>1</v>
      </c>
    </row>
    <row r="229" spans="1:2" x14ac:dyDescent="0.25">
      <c r="A229" s="4" t="s">
        <v>290</v>
      </c>
      <c r="B229" s="4">
        <v>1</v>
      </c>
    </row>
    <row r="230" spans="1:2" x14ac:dyDescent="0.25">
      <c r="A230" s="4" t="s">
        <v>291</v>
      </c>
      <c r="B230" s="4">
        <v>1</v>
      </c>
    </row>
    <row r="231" spans="1:2" x14ac:dyDescent="0.25">
      <c r="A231" s="4" t="s">
        <v>292</v>
      </c>
      <c r="B231" s="4">
        <v>1</v>
      </c>
    </row>
    <row r="232" spans="1:2" x14ac:dyDescent="0.25">
      <c r="A232" s="4" t="s">
        <v>293</v>
      </c>
      <c r="B232" s="4">
        <v>1</v>
      </c>
    </row>
    <row r="233" spans="1:2" x14ac:dyDescent="0.25">
      <c r="A233" s="4" t="s">
        <v>294</v>
      </c>
      <c r="B233" s="4">
        <v>1</v>
      </c>
    </row>
    <row r="234" spans="1:2" x14ac:dyDescent="0.25">
      <c r="A234" s="4" t="s">
        <v>295</v>
      </c>
      <c r="B234" s="4">
        <v>1</v>
      </c>
    </row>
    <row r="235" spans="1:2" x14ac:dyDescent="0.25">
      <c r="A235" s="4" t="s">
        <v>296</v>
      </c>
      <c r="B235" s="4">
        <v>1</v>
      </c>
    </row>
    <row r="236" spans="1:2" x14ac:dyDescent="0.25">
      <c r="A236" s="4" t="s">
        <v>297</v>
      </c>
      <c r="B236" s="4">
        <v>1</v>
      </c>
    </row>
    <row r="237" spans="1:2" x14ac:dyDescent="0.25">
      <c r="A237" s="4" t="s">
        <v>298</v>
      </c>
      <c r="B237" s="4">
        <v>1</v>
      </c>
    </row>
    <row r="238" spans="1:2" x14ac:dyDescent="0.25">
      <c r="A238" s="4" t="s">
        <v>299</v>
      </c>
      <c r="B238" s="4">
        <v>1</v>
      </c>
    </row>
    <row r="239" spans="1:2" x14ac:dyDescent="0.25">
      <c r="A239" s="4" t="s">
        <v>300</v>
      </c>
      <c r="B239" s="4">
        <v>1</v>
      </c>
    </row>
    <row r="240" spans="1:2" x14ac:dyDescent="0.25">
      <c r="A240" s="4" t="s">
        <v>301</v>
      </c>
      <c r="B240" s="4">
        <v>1</v>
      </c>
    </row>
    <row r="241" spans="1:2" x14ac:dyDescent="0.25">
      <c r="A241" s="4" t="s">
        <v>302</v>
      </c>
      <c r="B241" s="4">
        <v>1</v>
      </c>
    </row>
    <row r="242" spans="1:2" x14ac:dyDescent="0.25">
      <c r="A242" s="4" t="s">
        <v>303</v>
      </c>
      <c r="B242" s="4">
        <v>1</v>
      </c>
    </row>
    <row r="243" spans="1:2" x14ac:dyDescent="0.25">
      <c r="A243" s="4" t="s">
        <v>304</v>
      </c>
      <c r="B243" s="4">
        <v>1</v>
      </c>
    </row>
    <row r="244" spans="1:2" x14ac:dyDescent="0.25">
      <c r="A244" s="4" t="s">
        <v>305</v>
      </c>
      <c r="B244" s="4">
        <v>1</v>
      </c>
    </row>
    <row r="245" spans="1:2" x14ac:dyDescent="0.25">
      <c r="A245" s="4" t="s">
        <v>306</v>
      </c>
      <c r="B245" s="4">
        <v>1</v>
      </c>
    </row>
    <row r="246" spans="1:2" x14ac:dyDescent="0.25">
      <c r="A246" s="4" t="s">
        <v>307</v>
      </c>
      <c r="B246" s="4">
        <v>1</v>
      </c>
    </row>
    <row r="247" spans="1:2" x14ac:dyDescent="0.25">
      <c r="A247" s="4" t="s">
        <v>308</v>
      </c>
      <c r="B247" s="4">
        <v>1</v>
      </c>
    </row>
    <row r="248" spans="1:2" x14ac:dyDescent="0.25">
      <c r="A248" s="4" t="s">
        <v>309</v>
      </c>
      <c r="B248" s="4">
        <v>1</v>
      </c>
    </row>
    <row r="249" spans="1:2" x14ac:dyDescent="0.25">
      <c r="A249" s="4" t="s">
        <v>310</v>
      </c>
      <c r="B249" s="4">
        <v>1</v>
      </c>
    </row>
    <row r="250" spans="1:2" x14ac:dyDescent="0.25">
      <c r="A250" s="4" t="s">
        <v>311</v>
      </c>
      <c r="B250" s="4">
        <v>1</v>
      </c>
    </row>
    <row r="251" spans="1:2" x14ac:dyDescent="0.25">
      <c r="A251" s="4" t="s">
        <v>312</v>
      </c>
      <c r="B251" s="4">
        <v>1</v>
      </c>
    </row>
    <row r="252" spans="1:2" x14ac:dyDescent="0.25">
      <c r="A252" s="4" t="s">
        <v>313</v>
      </c>
      <c r="B252" s="4">
        <v>1</v>
      </c>
    </row>
    <row r="253" spans="1:2" x14ac:dyDescent="0.25">
      <c r="A253" s="4" t="s">
        <v>314</v>
      </c>
      <c r="B253" s="4">
        <v>1</v>
      </c>
    </row>
    <row r="254" spans="1:2" x14ac:dyDescent="0.25">
      <c r="A254" s="4" t="s">
        <v>315</v>
      </c>
      <c r="B254" s="4">
        <v>1</v>
      </c>
    </row>
    <row r="255" spans="1:2" x14ac:dyDescent="0.25">
      <c r="A255" s="4" t="s">
        <v>316</v>
      </c>
      <c r="B255" s="4">
        <v>1</v>
      </c>
    </row>
    <row r="256" spans="1:2" x14ac:dyDescent="0.25">
      <c r="A256" s="4" t="s">
        <v>317</v>
      </c>
      <c r="B256" s="4">
        <v>1</v>
      </c>
    </row>
    <row r="257" spans="1:2" x14ac:dyDescent="0.25">
      <c r="A257" s="4" t="s">
        <v>318</v>
      </c>
      <c r="B257" s="4">
        <v>1</v>
      </c>
    </row>
    <row r="258" spans="1:2" x14ac:dyDescent="0.25">
      <c r="A258" s="4" t="s">
        <v>319</v>
      </c>
      <c r="B258" s="4">
        <v>1</v>
      </c>
    </row>
    <row r="259" spans="1:2" x14ac:dyDescent="0.25">
      <c r="A259" s="4" t="s">
        <v>320</v>
      </c>
      <c r="B259" s="4">
        <v>1</v>
      </c>
    </row>
    <row r="260" spans="1:2" x14ac:dyDescent="0.25">
      <c r="A260" s="4" t="s">
        <v>321</v>
      </c>
      <c r="B260" s="4">
        <v>1</v>
      </c>
    </row>
    <row r="261" spans="1:2" x14ac:dyDescent="0.25">
      <c r="A261" s="4" t="s">
        <v>322</v>
      </c>
      <c r="B261" s="4">
        <v>1</v>
      </c>
    </row>
    <row r="262" spans="1:2" x14ac:dyDescent="0.25">
      <c r="A262" s="4" t="s">
        <v>323</v>
      </c>
      <c r="B262" s="4">
        <v>1</v>
      </c>
    </row>
    <row r="263" spans="1:2" x14ac:dyDescent="0.25">
      <c r="A263" s="4" t="s">
        <v>324</v>
      </c>
      <c r="B263" s="4">
        <v>1</v>
      </c>
    </row>
    <row r="264" spans="1:2" x14ac:dyDescent="0.25">
      <c r="A264" s="4" t="s">
        <v>325</v>
      </c>
      <c r="B264" s="4">
        <v>1</v>
      </c>
    </row>
    <row r="265" spans="1:2" x14ac:dyDescent="0.25">
      <c r="A265" s="4" t="s">
        <v>326</v>
      </c>
      <c r="B265" s="4">
        <v>1</v>
      </c>
    </row>
    <row r="266" spans="1:2" x14ac:dyDescent="0.25">
      <c r="A266" s="4" t="s">
        <v>327</v>
      </c>
      <c r="B266" s="4">
        <v>1</v>
      </c>
    </row>
    <row r="267" spans="1:2" x14ac:dyDescent="0.25">
      <c r="A267" s="4" t="s">
        <v>328</v>
      </c>
      <c r="B267" s="4">
        <v>1</v>
      </c>
    </row>
    <row r="268" spans="1:2" x14ac:dyDescent="0.25">
      <c r="A268" s="4" t="s">
        <v>329</v>
      </c>
      <c r="B268" s="4">
        <v>1</v>
      </c>
    </row>
    <row r="269" spans="1:2" x14ac:dyDescent="0.25">
      <c r="A269" s="4" t="s">
        <v>330</v>
      </c>
      <c r="B269" s="4">
        <v>1</v>
      </c>
    </row>
    <row r="270" spans="1:2" x14ac:dyDescent="0.25">
      <c r="A270" s="4" t="s">
        <v>331</v>
      </c>
      <c r="B270" s="4">
        <v>1</v>
      </c>
    </row>
    <row r="271" spans="1:2" x14ac:dyDescent="0.25">
      <c r="A271" s="4" t="s">
        <v>332</v>
      </c>
      <c r="B271" s="4">
        <v>1</v>
      </c>
    </row>
    <row r="272" spans="1:2" x14ac:dyDescent="0.25">
      <c r="A272" s="4" t="s">
        <v>333</v>
      </c>
      <c r="B272" s="4">
        <v>1</v>
      </c>
    </row>
    <row r="273" spans="1:2" x14ac:dyDescent="0.25">
      <c r="A273" s="4" t="s">
        <v>334</v>
      </c>
      <c r="B273" s="4">
        <v>1</v>
      </c>
    </row>
    <row r="274" spans="1:2" x14ac:dyDescent="0.25">
      <c r="A274" s="4" t="s">
        <v>335</v>
      </c>
      <c r="B274" s="4">
        <v>1</v>
      </c>
    </row>
    <row r="275" spans="1:2" x14ac:dyDescent="0.25">
      <c r="A275" s="4" t="s">
        <v>336</v>
      </c>
      <c r="B275" s="4">
        <v>1</v>
      </c>
    </row>
    <row r="276" spans="1:2" x14ac:dyDescent="0.25">
      <c r="A276" s="4" t="s">
        <v>337</v>
      </c>
      <c r="B276" s="4">
        <v>1</v>
      </c>
    </row>
    <row r="277" spans="1:2" x14ac:dyDescent="0.25">
      <c r="A277" s="4" t="s">
        <v>338</v>
      </c>
      <c r="B277" s="4">
        <v>1</v>
      </c>
    </row>
    <row r="278" spans="1:2" x14ac:dyDescent="0.25">
      <c r="A278" s="4" t="s">
        <v>339</v>
      </c>
      <c r="B278" s="4">
        <v>1</v>
      </c>
    </row>
    <row r="279" spans="1:2" x14ac:dyDescent="0.25">
      <c r="A279" s="4" t="s">
        <v>340</v>
      </c>
      <c r="B279" s="4">
        <v>1</v>
      </c>
    </row>
    <row r="280" spans="1:2" x14ac:dyDescent="0.25">
      <c r="A280" s="4" t="s">
        <v>341</v>
      </c>
      <c r="B280" s="4">
        <v>1</v>
      </c>
    </row>
    <row r="281" spans="1:2" x14ac:dyDescent="0.25">
      <c r="A281" s="4" t="s">
        <v>342</v>
      </c>
      <c r="B281" s="4">
        <v>1</v>
      </c>
    </row>
    <row r="282" spans="1:2" x14ac:dyDescent="0.25">
      <c r="A282" s="4" t="s">
        <v>343</v>
      </c>
      <c r="B282" s="4">
        <v>1</v>
      </c>
    </row>
    <row r="283" spans="1:2" x14ac:dyDescent="0.25">
      <c r="A283" s="4" t="s">
        <v>344</v>
      </c>
      <c r="B283" s="4">
        <v>1</v>
      </c>
    </row>
    <row r="284" spans="1:2" x14ac:dyDescent="0.25">
      <c r="A284" s="4" t="s">
        <v>345</v>
      </c>
      <c r="B284" s="4">
        <v>1</v>
      </c>
    </row>
    <row r="285" spans="1:2" x14ac:dyDescent="0.25">
      <c r="A285" s="4" t="s">
        <v>346</v>
      </c>
      <c r="B285" s="4">
        <v>1</v>
      </c>
    </row>
    <row r="286" spans="1:2" x14ac:dyDescent="0.25">
      <c r="A286" s="4" t="s">
        <v>347</v>
      </c>
      <c r="B286" s="4">
        <v>1</v>
      </c>
    </row>
    <row r="287" spans="1:2" x14ac:dyDescent="0.25">
      <c r="A287" s="4" t="s">
        <v>348</v>
      </c>
      <c r="B287" s="4">
        <v>1</v>
      </c>
    </row>
    <row r="288" spans="1:2" x14ac:dyDescent="0.25">
      <c r="A288" s="4" t="s">
        <v>349</v>
      </c>
      <c r="B288" s="4">
        <v>1</v>
      </c>
    </row>
    <row r="289" spans="1:2" x14ac:dyDescent="0.25">
      <c r="A289" s="4" t="s">
        <v>350</v>
      </c>
      <c r="B289" s="4">
        <v>1</v>
      </c>
    </row>
    <row r="290" spans="1:2" x14ac:dyDescent="0.25">
      <c r="A290" s="4" t="s">
        <v>351</v>
      </c>
      <c r="B290" s="4">
        <v>1</v>
      </c>
    </row>
    <row r="291" spans="1:2" x14ac:dyDescent="0.25">
      <c r="A291" s="4" t="s">
        <v>352</v>
      </c>
      <c r="B291" s="4">
        <v>1</v>
      </c>
    </row>
    <row r="292" spans="1:2" x14ac:dyDescent="0.25">
      <c r="A292" s="4" t="s">
        <v>353</v>
      </c>
      <c r="B292" s="4">
        <v>1</v>
      </c>
    </row>
    <row r="293" spans="1:2" x14ac:dyDescent="0.25">
      <c r="A293" s="4" t="s">
        <v>354</v>
      </c>
      <c r="B293" s="4">
        <v>1</v>
      </c>
    </row>
    <row r="294" spans="1:2" x14ac:dyDescent="0.25">
      <c r="A294" s="4" t="s">
        <v>355</v>
      </c>
      <c r="B294" s="4">
        <v>1</v>
      </c>
    </row>
    <row r="295" spans="1:2" x14ac:dyDescent="0.25">
      <c r="A295" s="4" t="s">
        <v>356</v>
      </c>
      <c r="B295" s="4">
        <v>1</v>
      </c>
    </row>
    <row r="296" spans="1:2" x14ac:dyDescent="0.25">
      <c r="A296" s="4" t="s">
        <v>357</v>
      </c>
      <c r="B296" s="4">
        <v>1</v>
      </c>
    </row>
    <row r="297" spans="1:2" x14ac:dyDescent="0.25">
      <c r="A297" s="4" t="s">
        <v>358</v>
      </c>
      <c r="B297" s="4">
        <v>1</v>
      </c>
    </row>
    <row r="298" spans="1:2" x14ac:dyDescent="0.25">
      <c r="A298" s="4" t="s">
        <v>359</v>
      </c>
      <c r="B298" s="4">
        <v>1</v>
      </c>
    </row>
    <row r="299" spans="1:2" x14ac:dyDescent="0.25">
      <c r="A299" s="4" t="s">
        <v>360</v>
      </c>
      <c r="B299" s="4">
        <v>1</v>
      </c>
    </row>
    <row r="300" spans="1:2" x14ac:dyDescent="0.25">
      <c r="A300" s="4" t="s">
        <v>361</v>
      </c>
      <c r="B300" s="4">
        <v>1</v>
      </c>
    </row>
    <row r="301" spans="1:2" x14ac:dyDescent="0.25">
      <c r="A301" s="4" t="s">
        <v>362</v>
      </c>
      <c r="B301" s="4">
        <v>1</v>
      </c>
    </row>
    <row r="302" spans="1:2" x14ac:dyDescent="0.25">
      <c r="A302" s="4" t="s">
        <v>363</v>
      </c>
      <c r="B302" s="4">
        <v>1</v>
      </c>
    </row>
    <row r="303" spans="1:2" x14ac:dyDescent="0.25">
      <c r="A303" s="4" t="s">
        <v>364</v>
      </c>
      <c r="B303" s="4">
        <v>1</v>
      </c>
    </row>
    <row r="304" spans="1:2" x14ac:dyDescent="0.25">
      <c r="A304" s="4" t="s">
        <v>365</v>
      </c>
      <c r="B304" s="4">
        <v>1</v>
      </c>
    </row>
    <row r="305" spans="1:2" x14ac:dyDescent="0.25">
      <c r="A305" s="4" t="s">
        <v>366</v>
      </c>
      <c r="B305" s="4">
        <v>1</v>
      </c>
    </row>
    <row r="306" spans="1:2" x14ac:dyDescent="0.25">
      <c r="A306" s="4" t="s">
        <v>367</v>
      </c>
      <c r="B306" s="4">
        <v>1</v>
      </c>
    </row>
    <row r="307" spans="1:2" x14ac:dyDescent="0.25">
      <c r="A307" s="4" t="s">
        <v>368</v>
      </c>
      <c r="B307" s="4">
        <v>1</v>
      </c>
    </row>
    <row r="308" spans="1:2" x14ac:dyDescent="0.25">
      <c r="A308" s="4" t="s">
        <v>369</v>
      </c>
      <c r="B308" s="4">
        <v>1</v>
      </c>
    </row>
    <row r="309" spans="1:2" x14ac:dyDescent="0.25">
      <c r="A309" s="4" t="s">
        <v>370</v>
      </c>
      <c r="B309" s="4">
        <v>1</v>
      </c>
    </row>
    <row r="310" spans="1:2" x14ac:dyDescent="0.25">
      <c r="A310" s="4" t="s">
        <v>371</v>
      </c>
      <c r="B310" s="4">
        <v>1</v>
      </c>
    </row>
    <row r="311" spans="1:2" x14ac:dyDescent="0.25">
      <c r="A311" s="4" t="s">
        <v>372</v>
      </c>
      <c r="B311" s="4">
        <v>1</v>
      </c>
    </row>
    <row r="312" spans="1:2" x14ac:dyDescent="0.25">
      <c r="A312" s="4" t="s">
        <v>373</v>
      </c>
      <c r="B312" s="4">
        <v>1</v>
      </c>
    </row>
    <row r="313" spans="1:2" x14ac:dyDescent="0.25">
      <c r="A313" s="4" t="s">
        <v>374</v>
      </c>
      <c r="B313" s="4">
        <v>1</v>
      </c>
    </row>
    <row r="314" spans="1:2" x14ac:dyDescent="0.25">
      <c r="A314" s="4" t="s">
        <v>375</v>
      </c>
      <c r="B314" s="4">
        <v>1</v>
      </c>
    </row>
    <row r="315" spans="1:2" x14ac:dyDescent="0.25">
      <c r="A315" s="4" t="s">
        <v>376</v>
      </c>
      <c r="B315" s="4">
        <v>1</v>
      </c>
    </row>
    <row r="316" spans="1:2" x14ac:dyDescent="0.25">
      <c r="A316" s="4" t="s">
        <v>377</v>
      </c>
      <c r="B316" s="4">
        <v>1</v>
      </c>
    </row>
    <row r="317" spans="1:2" x14ac:dyDescent="0.25">
      <c r="A317" s="4" t="s">
        <v>378</v>
      </c>
      <c r="B317" s="4">
        <v>1</v>
      </c>
    </row>
    <row r="318" spans="1:2" x14ac:dyDescent="0.25">
      <c r="A318" s="4" t="s">
        <v>379</v>
      </c>
      <c r="B318" s="4">
        <v>1</v>
      </c>
    </row>
    <row r="319" spans="1:2" x14ac:dyDescent="0.25">
      <c r="A319" s="4" t="s">
        <v>380</v>
      </c>
      <c r="B319" s="4">
        <v>1</v>
      </c>
    </row>
    <row r="320" spans="1:2" x14ac:dyDescent="0.25">
      <c r="A320" s="4" t="s">
        <v>381</v>
      </c>
      <c r="B320" s="4">
        <v>1</v>
      </c>
    </row>
    <row r="321" spans="1:2" x14ac:dyDescent="0.25">
      <c r="A321" s="4" t="s">
        <v>382</v>
      </c>
      <c r="B321" s="4">
        <v>1</v>
      </c>
    </row>
    <row r="322" spans="1:2" x14ac:dyDescent="0.25">
      <c r="A322" s="4" t="s">
        <v>383</v>
      </c>
      <c r="B322" s="4">
        <v>1</v>
      </c>
    </row>
    <row r="323" spans="1:2" x14ac:dyDescent="0.25">
      <c r="A323" s="4" t="s">
        <v>384</v>
      </c>
      <c r="B323" s="4">
        <v>1</v>
      </c>
    </row>
    <row r="324" spans="1:2" x14ac:dyDescent="0.25">
      <c r="A324" s="4" t="s">
        <v>385</v>
      </c>
      <c r="B324" s="4">
        <v>1</v>
      </c>
    </row>
    <row r="325" spans="1:2" x14ac:dyDescent="0.25">
      <c r="A325" s="4" t="s">
        <v>386</v>
      </c>
      <c r="B325" s="4">
        <v>1</v>
      </c>
    </row>
    <row r="326" spans="1:2" x14ac:dyDescent="0.25">
      <c r="A326" s="4" t="s">
        <v>387</v>
      </c>
      <c r="B326" s="4">
        <v>1</v>
      </c>
    </row>
    <row r="327" spans="1:2" x14ac:dyDescent="0.25">
      <c r="A327" s="4" t="s">
        <v>388</v>
      </c>
      <c r="B327" s="4">
        <v>1</v>
      </c>
    </row>
    <row r="328" spans="1:2" x14ac:dyDescent="0.25">
      <c r="A328" s="4" t="s">
        <v>389</v>
      </c>
      <c r="B328" s="4">
        <v>1</v>
      </c>
    </row>
    <row r="329" spans="1:2" x14ac:dyDescent="0.25">
      <c r="A329" s="4" t="s">
        <v>390</v>
      </c>
      <c r="B329" s="4">
        <v>1</v>
      </c>
    </row>
    <row r="330" spans="1:2" x14ac:dyDescent="0.25">
      <c r="A330" s="4" t="s">
        <v>391</v>
      </c>
      <c r="B330" s="4">
        <v>1</v>
      </c>
    </row>
    <row r="331" spans="1:2" x14ac:dyDescent="0.25">
      <c r="A331" s="4" t="s">
        <v>392</v>
      </c>
      <c r="B331" s="4">
        <v>1</v>
      </c>
    </row>
    <row r="332" spans="1:2" x14ac:dyDescent="0.25">
      <c r="A332" s="4" t="s">
        <v>393</v>
      </c>
      <c r="B332" s="4">
        <v>1</v>
      </c>
    </row>
    <row r="333" spans="1:2" x14ac:dyDescent="0.25">
      <c r="A333" s="4" t="s">
        <v>394</v>
      </c>
      <c r="B333" s="4">
        <v>1</v>
      </c>
    </row>
    <row r="334" spans="1:2" x14ac:dyDescent="0.25">
      <c r="A334" s="4" t="s">
        <v>395</v>
      </c>
      <c r="B334" s="4">
        <v>1</v>
      </c>
    </row>
    <row r="335" spans="1:2" x14ac:dyDescent="0.25">
      <c r="A335" s="4" t="s">
        <v>396</v>
      </c>
      <c r="B335" s="4">
        <v>1</v>
      </c>
    </row>
    <row r="336" spans="1:2" x14ac:dyDescent="0.25">
      <c r="A336" s="4" t="s">
        <v>397</v>
      </c>
      <c r="B336" s="4">
        <v>1</v>
      </c>
    </row>
    <row r="337" spans="1:2" x14ac:dyDescent="0.25">
      <c r="A337" s="4" t="s">
        <v>398</v>
      </c>
      <c r="B337" s="4">
        <v>1</v>
      </c>
    </row>
    <row r="338" spans="1:2" x14ac:dyDescent="0.25">
      <c r="A338" s="4" t="s">
        <v>399</v>
      </c>
      <c r="B338" s="4">
        <v>1</v>
      </c>
    </row>
    <row r="339" spans="1:2" x14ac:dyDescent="0.25">
      <c r="A339" s="4" t="s">
        <v>400</v>
      </c>
      <c r="B339" s="4">
        <v>1</v>
      </c>
    </row>
    <row r="340" spans="1:2" x14ac:dyDescent="0.25">
      <c r="A340" s="4" t="s">
        <v>401</v>
      </c>
      <c r="B340" s="4">
        <v>1</v>
      </c>
    </row>
    <row r="341" spans="1:2" x14ac:dyDescent="0.25">
      <c r="A341" s="4" t="s">
        <v>402</v>
      </c>
      <c r="B341" s="4">
        <v>1</v>
      </c>
    </row>
    <row r="342" spans="1:2" x14ac:dyDescent="0.25">
      <c r="A342" s="4" t="s">
        <v>403</v>
      </c>
      <c r="B342" s="4">
        <v>1</v>
      </c>
    </row>
    <row r="343" spans="1:2" x14ac:dyDescent="0.25">
      <c r="A343" s="4" t="s">
        <v>404</v>
      </c>
      <c r="B343" s="4">
        <v>1</v>
      </c>
    </row>
    <row r="344" spans="1:2" x14ac:dyDescent="0.25">
      <c r="A344" s="4" t="s">
        <v>405</v>
      </c>
      <c r="B344" s="4">
        <v>1</v>
      </c>
    </row>
    <row r="345" spans="1:2" x14ac:dyDescent="0.25">
      <c r="A345" s="4" t="s">
        <v>406</v>
      </c>
      <c r="B345" s="4">
        <v>1</v>
      </c>
    </row>
    <row r="346" spans="1:2" x14ac:dyDescent="0.25">
      <c r="A346" s="4" t="s">
        <v>407</v>
      </c>
      <c r="B346" s="4">
        <v>1</v>
      </c>
    </row>
    <row r="347" spans="1:2" x14ac:dyDescent="0.25">
      <c r="A347" s="4" t="s">
        <v>408</v>
      </c>
      <c r="B347" s="4">
        <v>1</v>
      </c>
    </row>
    <row r="348" spans="1:2" x14ac:dyDescent="0.25">
      <c r="A348" s="4" t="s">
        <v>409</v>
      </c>
      <c r="B348" s="4">
        <v>1</v>
      </c>
    </row>
    <row r="349" spans="1:2" x14ac:dyDescent="0.25">
      <c r="A349" s="4" t="s">
        <v>410</v>
      </c>
      <c r="B349" s="4">
        <v>1</v>
      </c>
    </row>
    <row r="350" spans="1:2" x14ac:dyDescent="0.25">
      <c r="A350" s="4" t="s">
        <v>411</v>
      </c>
      <c r="B350" s="4">
        <v>1</v>
      </c>
    </row>
    <row r="351" spans="1:2" x14ac:dyDescent="0.25">
      <c r="A351" s="4" t="s">
        <v>412</v>
      </c>
      <c r="B351" s="4">
        <v>1</v>
      </c>
    </row>
    <row r="352" spans="1:2" x14ac:dyDescent="0.25">
      <c r="A352" s="4" t="s">
        <v>413</v>
      </c>
      <c r="B352" s="4">
        <v>1</v>
      </c>
    </row>
    <row r="353" spans="1:2" x14ac:dyDescent="0.25">
      <c r="A353" s="4" t="s">
        <v>414</v>
      </c>
      <c r="B353" s="4">
        <v>1</v>
      </c>
    </row>
    <row r="354" spans="1:2" x14ac:dyDescent="0.25">
      <c r="A354" s="4" t="s">
        <v>415</v>
      </c>
      <c r="B354" s="4">
        <v>1</v>
      </c>
    </row>
    <row r="355" spans="1:2" x14ac:dyDescent="0.25">
      <c r="A355" s="4" t="s">
        <v>416</v>
      </c>
      <c r="B355" s="4">
        <v>1</v>
      </c>
    </row>
    <row r="356" spans="1:2" x14ac:dyDescent="0.25">
      <c r="A356" s="4" t="s">
        <v>417</v>
      </c>
      <c r="B356" s="4">
        <v>1</v>
      </c>
    </row>
    <row r="357" spans="1:2" x14ac:dyDescent="0.25">
      <c r="A357" s="4" t="s">
        <v>418</v>
      </c>
      <c r="B357" s="4">
        <v>1</v>
      </c>
    </row>
    <row r="358" spans="1:2" x14ac:dyDescent="0.25">
      <c r="A358" s="4" t="s">
        <v>419</v>
      </c>
      <c r="B358" s="4">
        <v>1</v>
      </c>
    </row>
    <row r="359" spans="1:2" x14ac:dyDescent="0.25">
      <c r="A359" s="4" t="s">
        <v>420</v>
      </c>
      <c r="B359" s="4">
        <v>1</v>
      </c>
    </row>
    <row r="360" spans="1:2" x14ac:dyDescent="0.25">
      <c r="A360" s="4" t="s">
        <v>421</v>
      </c>
      <c r="B360" s="4">
        <v>1</v>
      </c>
    </row>
    <row r="361" spans="1:2" x14ac:dyDescent="0.25">
      <c r="A361" s="4" t="s">
        <v>422</v>
      </c>
      <c r="B361" s="4">
        <v>1</v>
      </c>
    </row>
    <row r="362" spans="1:2" x14ac:dyDescent="0.25">
      <c r="A362" s="4" t="s">
        <v>423</v>
      </c>
      <c r="B362" s="4">
        <v>1</v>
      </c>
    </row>
    <row r="363" spans="1:2" x14ac:dyDescent="0.25">
      <c r="A363" s="4" t="s">
        <v>424</v>
      </c>
      <c r="B363" s="4">
        <v>1</v>
      </c>
    </row>
    <row r="364" spans="1:2" x14ac:dyDescent="0.25">
      <c r="A364" s="4" t="s">
        <v>425</v>
      </c>
      <c r="B364" s="4">
        <v>1</v>
      </c>
    </row>
    <row r="365" spans="1:2" x14ac:dyDescent="0.25">
      <c r="A365" s="4" t="s">
        <v>426</v>
      </c>
      <c r="B365" s="4">
        <v>1</v>
      </c>
    </row>
    <row r="366" spans="1:2" x14ac:dyDescent="0.25">
      <c r="A366" s="4" t="s">
        <v>427</v>
      </c>
      <c r="B366" s="4">
        <v>1</v>
      </c>
    </row>
    <row r="367" spans="1:2" x14ac:dyDescent="0.25">
      <c r="A367" s="4" t="s">
        <v>428</v>
      </c>
      <c r="B367" s="4">
        <v>1</v>
      </c>
    </row>
    <row r="368" spans="1:2" x14ac:dyDescent="0.25">
      <c r="A368" s="4" t="s">
        <v>429</v>
      </c>
      <c r="B368" s="4">
        <v>1</v>
      </c>
    </row>
    <row r="369" spans="1:2" x14ac:dyDescent="0.25">
      <c r="A369" s="4" t="s">
        <v>430</v>
      </c>
      <c r="B369" s="4">
        <v>1</v>
      </c>
    </row>
    <row r="370" spans="1:2" x14ac:dyDescent="0.25">
      <c r="A370" s="4" t="s">
        <v>431</v>
      </c>
      <c r="B370" s="4">
        <v>1</v>
      </c>
    </row>
    <row r="371" spans="1:2" x14ac:dyDescent="0.25">
      <c r="A371" s="4" t="s">
        <v>432</v>
      </c>
      <c r="B371" s="4">
        <v>1</v>
      </c>
    </row>
    <row r="372" spans="1:2" x14ac:dyDescent="0.25">
      <c r="A372" s="4" t="s">
        <v>433</v>
      </c>
      <c r="B372" s="4">
        <v>1</v>
      </c>
    </row>
    <row r="373" spans="1:2" x14ac:dyDescent="0.25">
      <c r="A373" s="4" t="s">
        <v>434</v>
      </c>
      <c r="B373" s="4">
        <v>1</v>
      </c>
    </row>
    <row r="374" spans="1:2" x14ac:dyDescent="0.25">
      <c r="A374" s="4" t="s">
        <v>435</v>
      </c>
      <c r="B374" s="4">
        <v>1</v>
      </c>
    </row>
    <row r="375" spans="1:2" x14ac:dyDescent="0.25">
      <c r="A375" s="4" t="s">
        <v>436</v>
      </c>
      <c r="B375" s="4">
        <v>1</v>
      </c>
    </row>
    <row r="376" spans="1:2" x14ac:dyDescent="0.25">
      <c r="A376" s="4" t="s">
        <v>437</v>
      </c>
      <c r="B376" s="4">
        <v>1</v>
      </c>
    </row>
    <row r="377" spans="1:2" x14ac:dyDescent="0.25">
      <c r="A377" s="4" t="s">
        <v>438</v>
      </c>
      <c r="B377" s="4">
        <v>1</v>
      </c>
    </row>
    <row r="378" spans="1:2" x14ac:dyDescent="0.25">
      <c r="A378" s="4" t="s">
        <v>439</v>
      </c>
      <c r="B378" s="4">
        <v>1</v>
      </c>
    </row>
    <row r="379" spans="1:2" x14ac:dyDescent="0.25">
      <c r="A379" s="4" t="s">
        <v>440</v>
      </c>
      <c r="B379" s="4">
        <v>1</v>
      </c>
    </row>
    <row r="380" spans="1:2" x14ac:dyDescent="0.25">
      <c r="A380" s="4" t="s">
        <v>441</v>
      </c>
      <c r="B380" s="4">
        <v>1</v>
      </c>
    </row>
    <row r="381" spans="1:2" x14ac:dyDescent="0.25">
      <c r="A381" s="4" t="s">
        <v>442</v>
      </c>
      <c r="B381" s="4">
        <v>1</v>
      </c>
    </row>
    <row r="382" spans="1:2" x14ac:dyDescent="0.25">
      <c r="A382" s="4" t="s">
        <v>443</v>
      </c>
      <c r="B382" s="4">
        <v>1</v>
      </c>
    </row>
    <row r="383" spans="1:2" x14ac:dyDescent="0.25">
      <c r="A383" s="4" t="s">
        <v>444</v>
      </c>
      <c r="B383" s="4">
        <v>1</v>
      </c>
    </row>
    <row r="384" spans="1:2" x14ac:dyDescent="0.25">
      <c r="A384" s="4" t="s">
        <v>445</v>
      </c>
      <c r="B384" s="4">
        <v>1</v>
      </c>
    </row>
    <row r="385" spans="1:2" x14ac:dyDescent="0.25">
      <c r="A385" s="4" t="s">
        <v>446</v>
      </c>
      <c r="B385" s="4">
        <v>1</v>
      </c>
    </row>
    <row r="386" spans="1:2" x14ac:dyDescent="0.25">
      <c r="A386" s="4" t="s">
        <v>447</v>
      </c>
      <c r="B386" s="4">
        <v>1</v>
      </c>
    </row>
    <row r="387" spans="1:2" x14ac:dyDescent="0.25">
      <c r="A387" s="4" t="s">
        <v>448</v>
      </c>
      <c r="B387" s="4">
        <v>1</v>
      </c>
    </row>
    <row r="388" spans="1:2" x14ac:dyDescent="0.25">
      <c r="A388" s="4" t="s">
        <v>449</v>
      </c>
      <c r="B388" s="4">
        <v>1</v>
      </c>
    </row>
    <row r="389" spans="1:2" x14ac:dyDescent="0.25">
      <c r="A389" s="4" t="s">
        <v>450</v>
      </c>
      <c r="B389" s="4">
        <v>1</v>
      </c>
    </row>
    <row r="390" spans="1:2" x14ac:dyDescent="0.25">
      <c r="A390" s="4" t="s">
        <v>451</v>
      </c>
      <c r="B390" s="4">
        <v>1</v>
      </c>
    </row>
    <row r="391" spans="1:2" x14ac:dyDescent="0.25">
      <c r="A391" s="4" t="s">
        <v>452</v>
      </c>
      <c r="B391" s="4">
        <v>1</v>
      </c>
    </row>
    <row r="392" spans="1:2" x14ac:dyDescent="0.25">
      <c r="A392" s="4" t="s">
        <v>453</v>
      </c>
      <c r="B392" s="4">
        <v>1</v>
      </c>
    </row>
    <row r="393" spans="1:2" x14ac:dyDescent="0.25">
      <c r="A393" s="4" t="s">
        <v>454</v>
      </c>
      <c r="B393" s="4">
        <v>1</v>
      </c>
    </row>
    <row r="394" spans="1:2" x14ac:dyDescent="0.25">
      <c r="A394" s="4" t="s">
        <v>455</v>
      </c>
      <c r="B394" s="4">
        <v>1</v>
      </c>
    </row>
    <row r="395" spans="1:2" x14ac:dyDescent="0.25">
      <c r="A395" s="4" t="s">
        <v>456</v>
      </c>
      <c r="B395" s="4">
        <v>1</v>
      </c>
    </row>
    <row r="396" spans="1:2" x14ac:dyDescent="0.25">
      <c r="A396" s="4" t="s">
        <v>457</v>
      </c>
      <c r="B396" s="4">
        <v>1</v>
      </c>
    </row>
    <row r="397" spans="1:2" x14ac:dyDescent="0.25">
      <c r="A397" s="4" t="s">
        <v>458</v>
      </c>
      <c r="B397" s="4">
        <v>1</v>
      </c>
    </row>
    <row r="398" spans="1:2" x14ac:dyDescent="0.25">
      <c r="A398" s="4" t="s">
        <v>459</v>
      </c>
      <c r="B398" s="4">
        <v>1</v>
      </c>
    </row>
    <row r="399" spans="1:2" x14ac:dyDescent="0.25">
      <c r="A399" s="4" t="s">
        <v>460</v>
      </c>
      <c r="B399" s="4">
        <v>1</v>
      </c>
    </row>
    <row r="400" spans="1:2" x14ac:dyDescent="0.25">
      <c r="A400" s="4" t="s">
        <v>461</v>
      </c>
      <c r="B400" s="4">
        <v>1</v>
      </c>
    </row>
    <row r="401" spans="1:2" x14ac:dyDescent="0.25">
      <c r="A401" s="4" t="s">
        <v>462</v>
      </c>
      <c r="B401" s="4">
        <v>1</v>
      </c>
    </row>
    <row r="402" spans="1:2" x14ac:dyDescent="0.25">
      <c r="A402" s="4" t="s">
        <v>463</v>
      </c>
      <c r="B402" s="4">
        <v>1</v>
      </c>
    </row>
    <row r="403" spans="1:2" x14ac:dyDescent="0.25">
      <c r="A403" s="4" t="s">
        <v>464</v>
      </c>
      <c r="B403" s="4">
        <v>1</v>
      </c>
    </row>
    <row r="404" spans="1:2" x14ac:dyDescent="0.25">
      <c r="A404" s="4" t="s">
        <v>465</v>
      </c>
      <c r="B404" s="4">
        <v>1</v>
      </c>
    </row>
    <row r="405" spans="1:2" x14ac:dyDescent="0.25">
      <c r="A405" s="4" t="s">
        <v>466</v>
      </c>
      <c r="B405" s="4">
        <v>1</v>
      </c>
    </row>
    <row r="406" spans="1:2" x14ac:dyDescent="0.25">
      <c r="A406" s="4" t="s">
        <v>467</v>
      </c>
      <c r="B406" s="4">
        <v>1</v>
      </c>
    </row>
    <row r="407" spans="1:2" x14ac:dyDescent="0.25">
      <c r="A407" s="4" t="s">
        <v>468</v>
      </c>
      <c r="B407" s="4">
        <v>1</v>
      </c>
    </row>
    <row r="408" spans="1:2" x14ac:dyDescent="0.25">
      <c r="A408" s="4" t="s">
        <v>469</v>
      </c>
      <c r="B408" s="4">
        <v>1</v>
      </c>
    </row>
    <row r="409" spans="1:2" x14ac:dyDescent="0.25">
      <c r="A409" s="4" t="s">
        <v>470</v>
      </c>
      <c r="B409" s="4">
        <v>1</v>
      </c>
    </row>
    <row r="410" spans="1:2" x14ac:dyDescent="0.25">
      <c r="A410" s="4" t="s">
        <v>471</v>
      </c>
      <c r="B410" s="4">
        <v>1</v>
      </c>
    </row>
    <row r="411" spans="1:2" x14ac:dyDescent="0.25">
      <c r="A411" s="4" t="s">
        <v>472</v>
      </c>
      <c r="B411" s="4">
        <v>1</v>
      </c>
    </row>
    <row r="412" spans="1:2" x14ac:dyDescent="0.25">
      <c r="A412" s="4" t="s">
        <v>473</v>
      </c>
      <c r="B412" s="4">
        <v>1</v>
      </c>
    </row>
    <row r="413" spans="1:2" x14ac:dyDescent="0.25">
      <c r="A413" s="4" t="s">
        <v>474</v>
      </c>
      <c r="B413" s="4">
        <v>1</v>
      </c>
    </row>
    <row r="414" spans="1:2" x14ac:dyDescent="0.25">
      <c r="A414" s="4" t="s">
        <v>475</v>
      </c>
      <c r="B414" s="4">
        <v>1</v>
      </c>
    </row>
    <row r="415" spans="1:2" x14ac:dyDescent="0.25">
      <c r="A415" s="4" t="s">
        <v>476</v>
      </c>
      <c r="B415" s="4">
        <v>1</v>
      </c>
    </row>
    <row r="416" spans="1:2" x14ac:dyDescent="0.25">
      <c r="A416" s="4" t="s">
        <v>477</v>
      </c>
      <c r="B416" s="4">
        <v>1</v>
      </c>
    </row>
    <row r="417" spans="1:2" x14ac:dyDescent="0.25">
      <c r="A417" s="4" t="s">
        <v>478</v>
      </c>
      <c r="B417" s="4">
        <v>1</v>
      </c>
    </row>
    <row r="418" spans="1:2" x14ac:dyDescent="0.25">
      <c r="A418" s="4" t="s">
        <v>479</v>
      </c>
      <c r="B418" s="4">
        <v>1</v>
      </c>
    </row>
    <row r="419" spans="1:2" x14ac:dyDescent="0.25">
      <c r="A419" s="4" t="s">
        <v>480</v>
      </c>
      <c r="B419" s="4">
        <v>1</v>
      </c>
    </row>
    <row r="420" spans="1:2" x14ac:dyDescent="0.25">
      <c r="A420" s="4" t="s">
        <v>481</v>
      </c>
      <c r="B420" s="4">
        <v>1</v>
      </c>
    </row>
    <row r="421" spans="1:2" x14ac:dyDescent="0.25">
      <c r="A421" s="4" t="s">
        <v>482</v>
      </c>
      <c r="B421" s="4">
        <v>1</v>
      </c>
    </row>
    <row r="422" spans="1:2" x14ac:dyDescent="0.25">
      <c r="A422" s="4" t="s">
        <v>483</v>
      </c>
      <c r="B422" s="4">
        <v>1</v>
      </c>
    </row>
    <row r="423" spans="1:2" x14ac:dyDescent="0.25">
      <c r="A423" s="4" t="s">
        <v>484</v>
      </c>
      <c r="B423" s="4">
        <v>1</v>
      </c>
    </row>
    <row r="424" spans="1:2" x14ac:dyDescent="0.25">
      <c r="A424" s="4" t="s">
        <v>485</v>
      </c>
      <c r="B424" s="4">
        <v>1</v>
      </c>
    </row>
    <row r="425" spans="1:2" x14ac:dyDescent="0.25">
      <c r="A425" s="4" t="s">
        <v>486</v>
      </c>
      <c r="B425" s="4">
        <v>1</v>
      </c>
    </row>
    <row r="426" spans="1:2" x14ac:dyDescent="0.25">
      <c r="A426" s="4" t="s">
        <v>487</v>
      </c>
      <c r="B426" s="4">
        <v>1</v>
      </c>
    </row>
    <row r="427" spans="1:2" x14ac:dyDescent="0.25">
      <c r="A427" s="4" t="s">
        <v>488</v>
      </c>
      <c r="B427" s="4">
        <v>1</v>
      </c>
    </row>
    <row r="428" spans="1:2" x14ac:dyDescent="0.25">
      <c r="A428" s="4" t="s">
        <v>489</v>
      </c>
      <c r="B428" s="4">
        <v>1</v>
      </c>
    </row>
    <row r="429" spans="1:2" x14ac:dyDescent="0.25">
      <c r="A429" s="4" t="s">
        <v>490</v>
      </c>
      <c r="B429" s="4">
        <v>1</v>
      </c>
    </row>
    <row r="430" spans="1:2" x14ac:dyDescent="0.25">
      <c r="A430" s="4" t="s">
        <v>491</v>
      </c>
      <c r="B430" s="4">
        <v>1</v>
      </c>
    </row>
    <row r="431" spans="1:2" x14ac:dyDescent="0.25">
      <c r="A431" s="4" t="s">
        <v>492</v>
      </c>
      <c r="B431" s="4">
        <v>1</v>
      </c>
    </row>
    <row r="432" spans="1:2" x14ac:dyDescent="0.25">
      <c r="A432" s="4" t="s">
        <v>493</v>
      </c>
      <c r="B432" s="4">
        <v>1</v>
      </c>
    </row>
    <row r="433" spans="1:2" x14ac:dyDescent="0.25">
      <c r="A433" s="4" t="s">
        <v>494</v>
      </c>
      <c r="B433" s="4">
        <v>1</v>
      </c>
    </row>
    <row r="434" spans="1:2" x14ac:dyDescent="0.25">
      <c r="A434" s="4" t="s">
        <v>495</v>
      </c>
      <c r="B434" s="4">
        <v>1</v>
      </c>
    </row>
    <row r="435" spans="1:2" x14ac:dyDescent="0.25">
      <c r="A435" s="4" t="s">
        <v>496</v>
      </c>
      <c r="B435" s="4">
        <v>1</v>
      </c>
    </row>
    <row r="436" spans="1:2" x14ac:dyDescent="0.25">
      <c r="A436" s="4" t="s">
        <v>497</v>
      </c>
      <c r="B436" s="4">
        <v>1</v>
      </c>
    </row>
    <row r="437" spans="1:2" x14ac:dyDescent="0.25">
      <c r="A437" s="4" t="s">
        <v>498</v>
      </c>
      <c r="B437" s="4">
        <v>1</v>
      </c>
    </row>
    <row r="438" spans="1:2" x14ac:dyDescent="0.25">
      <c r="A438" s="4" t="s">
        <v>499</v>
      </c>
      <c r="B438" s="4">
        <v>1</v>
      </c>
    </row>
    <row r="439" spans="1:2" x14ac:dyDescent="0.25">
      <c r="A439" s="4" t="s">
        <v>500</v>
      </c>
      <c r="B439" s="4">
        <v>1</v>
      </c>
    </row>
    <row r="440" spans="1:2" x14ac:dyDescent="0.25">
      <c r="A440" s="4" t="s">
        <v>501</v>
      </c>
      <c r="B440" s="4">
        <v>1</v>
      </c>
    </row>
    <row r="441" spans="1:2" x14ac:dyDescent="0.25">
      <c r="A441" s="4" t="s">
        <v>502</v>
      </c>
      <c r="B441" s="4">
        <v>1</v>
      </c>
    </row>
    <row r="442" spans="1:2" x14ac:dyDescent="0.25">
      <c r="A442" s="4" t="s">
        <v>503</v>
      </c>
      <c r="B442" s="4">
        <v>1</v>
      </c>
    </row>
    <row r="443" spans="1:2" x14ac:dyDescent="0.25">
      <c r="A443" s="4" t="s">
        <v>504</v>
      </c>
      <c r="B443" s="4">
        <v>1</v>
      </c>
    </row>
    <row r="444" spans="1:2" x14ac:dyDescent="0.25">
      <c r="A444" s="4" t="s">
        <v>505</v>
      </c>
      <c r="B444" s="4">
        <v>1</v>
      </c>
    </row>
    <row r="445" spans="1:2" x14ac:dyDescent="0.25">
      <c r="A445" s="4" t="s">
        <v>506</v>
      </c>
      <c r="B445" s="4">
        <v>1</v>
      </c>
    </row>
    <row r="446" spans="1:2" x14ac:dyDescent="0.25">
      <c r="A446" s="4" t="s">
        <v>507</v>
      </c>
      <c r="B446" s="4">
        <v>1</v>
      </c>
    </row>
    <row r="447" spans="1:2" x14ac:dyDescent="0.25">
      <c r="A447" s="4" t="s">
        <v>508</v>
      </c>
      <c r="B447" s="4">
        <v>1</v>
      </c>
    </row>
    <row r="448" spans="1:2" x14ac:dyDescent="0.25">
      <c r="A448" s="4" t="s">
        <v>509</v>
      </c>
      <c r="B448" s="4">
        <v>1</v>
      </c>
    </row>
    <row r="449" spans="1:2" x14ac:dyDescent="0.25">
      <c r="A449" s="4" t="s">
        <v>510</v>
      </c>
      <c r="B449" s="4">
        <v>1</v>
      </c>
    </row>
    <row r="450" spans="1:2" x14ac:dyDescent="0.25">
      <c r="A450" s="4" t="s">
        <v>511</v>
      </c>
      <c r="B450" s="4">
        <v>1</v>
      </c>
    </row>
    <row r="451" spans="1:2" x14ac:dyDescent="0.25">
      <c r="A451" s="4" t="s">
        <v>512</v>
      </c>
      <c r="B451" s="4">
        <v>1</v>
      </c>
    </row>
    <row r="452" spans="1:2" x14ac:dyDescent="0.25">
      <c r="A452" s="4" t="s">
        <v>513</v>
      </c>
      <c r="B452" s="4">
        <v>1</v>
      </c>
    </row>
    <row r="453" spans="1:2" x14ac:dyDescent="0.25">
      <c r="A453" s="4" t="s">
        <v>514</v>
      </c>
      <c r="B453" s="4">
        <v>1</v>
      </c>
    </row>
    <row r="454" spans="1:2" x14ac:dyDescent="0.25">
      <c r="A454" s="4" t="s">
        <v>515</v>
      </c>
      <c r="B454" s="4">
        <v>1</v>
      </c>
    </row>
    <row r="455" spans="1:2" x14ac:dyDescent="0.25">
      <c r="A455" s="4" t="s">
        <v>516</v>
      </c>
      <c r="B455" s="4">
        <v>1</v>
      </c>
    </row>
    <row r="456" spans="1:2" x14ac:dyDescent="0.25">
      <c r="A456" s="4" t="s">
        <v>517</v>
      </c>
      <c r="B456" s="4">
        <v>1</v>
      </c>
    </row>
    <row r="457" spans="1:2" x14ac:dyDescent="0.25">
      <c r="A457" s="4" t="s">
        <v>518</v>
      </c>
      <c r="B457" s="4">
        <v>1</v>
      </c>
    </row>
    <row r="458" spans="1:2" x14ac:dyDescent="0.25">
      <c r="A458" s="4" t="s">
        <v>519</v>
      </c>
      <c r="B458" s="4">
        <v>1</v>
      </c>
    </row>
    <row r="459" spans="1:2" x14ac:dyDescent="0.25">
      <c r="A459" s="4" t="s">
        <v>520</v>
      </c>
      <c r="B459" s="4">
        <v>1</v>
      </c>
    </row>
    <row r="460" spans="1:2" x14ac:dyDescent="0.25">
      <c r="A460" s="4" t="s">
        <v>521</v>
      </c>
      <c r="B460" s="4">
        <v>1</v>
      </c>
    </row>
    <row r="461" spans="1:2" x14ac:dyDescent="0.25">
      <c r="A461" s="4" t="s">
        <v>522</v>
      </c>
      <c r="B461" s="4">
        <v>1</v>
      </c>
    </row>
    <row r="462" spans="1:2" x14ac:dyDescent="0.25">
      <c r="A462" s="4" t="s">
        <v>523</v>
      </c>
      <c r="B462" s="4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5" x14ac:dyDescent="0.25"/>
  <cols>
    <col min="1" max="1" width="11" customWidth="1"/>
    <col min="2" max="2" width="9" customWidth="1"/>
    <col min="3" max="3" width="38" customWidth="1"/>
    <col min="4" max="4" width="14" customWidth="1"/>
    <col min="5" max="5" width="12" customWidth="1"/>
  </cols>
  <sheetData>
    <row r="1" spans="1:5" ht="18.75" x14ac:dyDescent="0.3">
      <c r="A1" s="1" t="s">
        <v>524</v>
      </c>
    </row>
    <row r="4" spans="1:5" ht="30" x14ac:dyDescent="0.25">
      <c r="A4" s="3" t="s">
        <v>47</v>
      </c>
      <c r="B4" s="3" t="s">
        <v>525</v>
      </c>
      <c r="C4" s="3" t="s">
        <v>526</v>
      </c>
      <c r="D4" s="3" t="s">
        <v>527</v>
      </c>
      <c r="E4" s="3" t="s">
        <v>528</v>
      </c>
    </row>
    <row r="5" spans="1:5" x14ac:dyDescent="0.25">
      <c r="A5" s="4" t="s">
        <v>54</v>
      </c>
      <c r="B5" s="4" t="s">
        <v>529</v>
      </c>
      <c r="C5" s="4" t="s">
        <v>530</v>
      </c>
      <c r="D5" s="4" t="s">
        <v>50</v>
      </c>
      <c r="E5" s="4">
        <v>81</v>
      </c>
    </row>
    <row r="6" spans="1:5" x14ac:dyDescent="0.25">
      <c r="A6" s="4" t="s">
        <v>54</v>
      </c>
      <c r="B6" s="4" t="s">
        <v>531</v>
      </c>
      <c r="C6" s="4" t="s">
        <v>532</v>
      </c>
      <c r="D6" s="4" t="s">
        <v>51</v>
      </c>
      <c r="E6" s="4">
        <v>78</v>
      </c>
    </row>
    <row r="7" spans="1:5" x14ac:dyDescent="0.25">
      <c r="A7" s="4" t="s">
        <v>54</v>
      </c>
      <c r="B7" s="4" t="s">
        <v>533</v>
      </c>
      <c r="C7" s="4" t="s">
        <v>534</v>
      </c>
      <c r="D7" s="4" t="s">
        <v>51</v>
      </c>
      <c r="E7" s="4">
        <v>78</v>
      </c>
    </row>
    <row r="8" spans="1:5" x14ac:dyDescent="0.25">
      <c r="A8" s="4" t="s">
        <v>54</v>
      </c>
      <c r="B8" s="4" t="s">
        <v>535</v>
      </c>
      <c r="C8" s="4" t="s">
        <v>536</v>
      </c>
      <c r="D8" s="4" t="s">
        <v>51</v>
      </c>
      <c r="E8" s="4">
        <v>78</v>
      </c>
    </row>
    <row r="9" spans="1:5" x14ac:dyDescent="0.25">
      <c r="A9" s="4" t="s">
        <v>54</v>
      </c>
      <c r="B9" s="4" t="s">
        <v>537</v>
      </c>
      <c r="C9" s="4" t="s">
        <v>538</v>
      </c>
      <c r="D9" s="4" t="s">
        <v>51</v>
      </c>
      <c r="E9" s="4">
        <v>72</v>
      </c>
    </row>
    <row r="10" spans="1:5" x14ac:dyDescent="0.25">
      <c r="A10" s="4" t="s">
        <v>54</v>
      </c>
      <c r="B10" s="4" t="s">
        <v>539</v>
      </c>
      <c r="C10" s="4" t="s">
        <v>540</v>
      </c>
      <c r="D10" s="4" t="s">
        <v>51</v>
      </c>
      <c r="E10" s="4">
        <v>58</v>
      </c>
    </row>
    <row r="11" spans="1:5" x14ac:dyDescent="0.25">
      <c r="A11" s="4" t="s">
        <v>54</v>
      </c>
      <c r="B11" s="4" t="s">
        <v>541</v>
      </c>
      <c r="C11" s="4" t="s">
        <v>542</v>
      </c>
      <c r="D11" s="4" t="s">
        <v>48</v>
      </c>
      <c r="E11" s="4">
        <v>31</v>
      </c>
    </row>
    <row r="12" spans="1:5" x14ac:dyDescent="0.25">
      <c r="A12" s="4" t="s">
        <v>54</v>
      </c>
      <c r="B12" s="4" t="s">
        <v>543</v>
      </c>
      <c r="C12" s="4" t="s">
        <v>544</v>
      </c>
      <c r="D12" s="4" t="s">
        <v>52</v>
      </c>
      <c r="E12" s="4">
        <v>11</v>
      </c>
    </row>
    <row r="13" spans="1:5" x14ac:dyDescent="0.25">
      <c r="A13" s="4" t="s">
        <v>55</v>
      </c>
      <c r="B13" s="4" t="s">
        <v>545</v>
      </c>
      <c r="C13" s="4" t="s">
        <v>546</v>
      </c>
      <c r="D13" s="4" t="s">
        <v>48</v>
      </c>
      <c r="E13" s="4">
        <v>45</v>
      </c>
    </row>
    <row r="14" spans="1:5" x14ac:dyDescent="0.25">
      <c r="A14" s="4" t="s">
        <v>56</v>
      </c>
      <c r="B14" s="4" t="s">
        <v>547</v>
      </c>
      <c r="C14" s="4" t="s">
        <v>548</v>
      </c>
      <c r="D14" s="4" t="s">
        <v>51</v>
      </c>
      <c r="E14" s="4">
        <v>81</v>
      </c>
    </row>
    <row r="15" spans="1:5" x14ac:dyDescent="0.25">
      <c r="A15" s="4" t="s">
        <v>56</v>
      </c>
      <c r="B15" s="4" t="s">
        <v>549</v>
      </c>
      <c r="C15" s="4" t="s">
        <v>550</v>
      </c>
      <c r="D15" s="4" t="s">
        <v>48</v>
      </c>
      <c r="E15" s="4">
        <v>47</v>
      </c>
    </row>
    <row r="16" spans="1:5" x14ac:dyDescent="0.25">
      <c r="A16" s="4" t="s">
        <v>56</v>
      </c>
      <c r="B16" s="4" t="s">
        <v>551</v>
      </c>
      <c r="C16" s="4" t="s">
        <v>552</v>
      </c>
      <c r="D16" s="4" t="s">
        <v>49</v>
      </c>
      <c r="E16" s="4">
        <v>38</v>
      </c>
    </row>
    <row r="17" spans="1:5" x14ac:dyDescent="0.25">
      <c r="A17" s="4" t="s">
        <v>56</v>
      </c>
      <c r="B17" s="4" t="s">
        <v>553</v>
      </c>
      <c r="C17" s="4" t="s">
        <v>554</v>
      </c>
      <c r="D17" s="4" t="s">
        <v>52</v>
      </c>
      <c r="E17" s="4">
        <v>30</v>
      </c>
    </row>
    <row r="18" spans="1:5" x14ac:dyDescent="0.25">
      <c r="A18" s="4" t="s">
        <v>56</v>
      </c>
      <c r="B18" s="4" t="s">
        <v>555</v>
      </c>
      <c r="C18" s="4" t="s">
        <v>556</v>
      </c>
      <c r="D18" s="4" t="s">
        <v>52</v>
      </c>
      <c r="E18" s="4">
        <v>30</v>
      </c>
    </row>
    <row r="19" spans="1:5" x14ac:dyDescent="0.25">
      <c r="A19" s="4" t="s">
        <v>56</v>
      </c>
      <c r="B19" s="4" t="s">
        <v>557</v>
      </c>
      <c r="C19" s="4" t="s">
        <v>558</v>
      </c>
      <c r="D19" s="4" t="s">
        <v>52</v>
      </c>
      <c r="E19" s="4">
        <v>30</v>
      </c>
    </row>
    <row r="20" spans="1:5" x14ac:dyDescent="0.25">
      <c r="A20" s="4" t="s">
        <v>56</v>
      </c>
      <c r="B20" s="4" t="s">
        <v>559</v>
      </c>
      <c r="C20" s="4" t="s">
        <v>560</v>
      </c>
      <c r="D20" s="4" t="s">
        <v>52</v>
      </c>
      <c r="E20" s="4">
        <v>25</v>
      </c>
    </row>
    <row r="21" spans="1:5" x14ac:dyDescent="0.25">
      <c r="A21" s="4" t="s">
        <v>56</v>
      </c>
      <c r="B21" s="4" t="s">
        <v>561</v>
      </c>
      <c r="C21" s="4" t="s">
        <v>562</v>
      </c>
      <c r="D21" s="4" t="s">
        <v>52</v>
      </c>
      <c r="E21" s="4">
        <v>25</v>
      </c>
    </row>
    <row r="22" spans="1:5" x14ac:dyDescent="0.25">
      <c r="A22" s="4" t="s">
        <v>57</v>
      </c>
      <c r="B22" s="4" t="s">
        <v>563</v>
      </c>
      <c r="C22" s="4" t="s">
        <v>564</v>
      </c>
      <c r="D22" s="4" t="s">
        <v>49</v>
      </c>
      <c r="E22" s="4">
        <v>49</v>
      </c>
    </row>
    <row r="23" spans="1:5" x14ac:dyDescent="0.25">
      <c r="A23" s="4" t="s">
        <v>57</v>
      </c>
      <c r="B23" s="4" t="s">
        <v>565</v>
      </c>
      <c r="C23" s="4" t="s">
        <v>566</v>
      </c>
      <c r="D23" s="4" t="s">
        <v>48</v>
      </c>
      <c r="E23" s="4">
        <v>21</v>
      </c>
    </row>
    <row r="24" spans="1:5" x14ac:dyDescent="0.25">
      <c r="A24" s="4" t="s">
        <v>58</v>
      </c>
      <c r="B24" s="4" t="s">
        <v>567</v>
      </c>
      <c r="C24" s="4" t="s">
        <v>568</v>
      </c>
      <c r="D24" s="4" t="s">
        <v>49</v>
      </c>
      <c r="E24" s="4">
        <v>31</v>
      </c>
    </row>
    <row r="25" spans="1:5" x14ac:dyDescent="0.25">
      <c r="A25" s="4" t="s">
        <v>58</v>
      </c>
      <c r="B25" s="4" t="s">
        <v>569</v>
      </c>
      <c r="C25" s="4" t="s">
        <v>570</v>
      </c>
      <c r="D25" s="4" t="s">
        <v>48</v>
      </c>
      <c r="E25" s="4">
        <v>30</v>
      </c>
    </row>
    <row r="26" spans="1:5" x14ac:dyDescent="0.25">
      <c r="A26" s="4" t="s">
        <v>59</v>
      </c>
      <c r="B26" s="4" t="s">
        <v>571</v>
      </c>
      <c r="C26" s="4" t="s">
        <v>572</v>
      </c>
      <c r="D26" s="4" t="s">
        <v>48</v>
      </c>
      <c r="E26" s="4">
        <v>28</v>
      </c>
    </row>
    <row r="27" spans="1:5" x14ac:dyDescent="0.25">
      <c r="A27" s="4" t="s">
        <v>60</v>
      </c>
      <c r="B27" s="4" t="s">
        <v>573</v>
      </c>
      <c r="C27" s="4" t="s">
        <v>574</v>
      </c>
      <c r="D27" s="4" t="s">
        <v>48</v>
      </c>
      <c r="E27" s="4">
        <v>44</v>
      </c>
    </row>
    <row r="28" spans="1:5" x14ac:dyDescent="0.25">
      <c r="D28" s="6" t="s">
        <v>53</v>
      </c>
      <c r="E28" s="6">
        <f>SUM(E5:E27)</f>
        <v>1041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cols>
    <col min="1" max="1" width="40" customWidth="1"/>
    <col min="2" max="2" width="10" customWidth="1"/>
  </cols>
  <sheetData>
    <row r="1" spans="1:2" ht="18.75" x14ac:dyDescent="0.3">
      <c r="A1" s="1" t="s">
        <v>575</v>
      </c>
    </row>
    <row r="3" spans="1:2" x14ac:dyDescent="0.25">
      <c r="A3" s="3" t="s">
        <v>576</v>
      </c>
      <c r="B3" s="3" t="s">
        <v>577</v>
      </c>
    </row>
    <row r="4" spans="1:2" x14ac:dyDescent="0.25">
      <c r="A4" s="4" t="s">
        <v>578</v>
      </c>
      <c r="B4" s="4">
        <v>1041</v>
      </c>
    </row>
    <row r="5" spans="1:2" x14ac:dyDescent="0.25">
      <c r="A5" s="4" t="s">
        <v>579</v>
      </c>
      <c r="B5" s="4">
        <v>124</v>
      </c>
    </row>
    <row r="6" spans="1:2" x14ac:dyDescent="0.25">
      <c r="A6" s="4" t="s">
        <v>580</v>
      </c>
      <c r="B6" s="4">
        <v>458</v>
      </c>
    </row>
    <row r="7" spans="1:2" x14ac:dyDescent="0.25">
      <c r="A7" s="4" t="s">
        <v>581</v>
      </c>
      <c r="B7" s="4">
        <v>23</v>
      </c>
    </row>
    <row r="8" spans="1:2" x14ac:dyDescent="0.25">
      <c r="A8" s="4" t="s">
        <v>582</v>
      </c>
      <c r="B8" s="4">
        <v>7</v>
      </c>
    </row>
    <row r="9" spans="1:2" x14ac:dyDescent="0.25">
      <c r="A9" s="4" t="s">
        <v>583</v>
      </c>
      <c r="B9" s="4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1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9" customWidth="1"/>
  </cols>
  <sheetData>
    <row r="1" spans="1:5" ht="18.75" x14ac:dyDescent="0.3">
      <c r="A1" s="1" t="s">
        <v>584</v>
      </c>
    </row>
    <row r="2" spans="1:5" x14ac:dyDescent="0.25">
      <c r="A2" s="2" t="s">
        <v>585</v>
      </c>
    </row>
    <row r="4" spans="1:5" x14ac:dyDescent="0.25">
      <c r="A4" s="7" t="s">
        <v>586</v>
      </c>
    </row>
    <row r="5" spans="1:5" ht="30" x14ac:dyDescent="0.25">
      <c r="A5" s="3" t="s">
        <v>587</v>
      </c>
      <c r="B5" s="3" t="s">
        <v>588</v>
      </c>
      <c r="C5" s="3" t="s">
        <v>589</v>
      </c>
      <c r="D5" s="3" t="s">
        <v>590</v>
      </c>
      <c r="E5" s="3" t="s">
        <v>53</v>
      </c>
    </row>
    <row r="6" spans="1:5" x14ac:dyDescent="0.25">
      <c r="A6" s="4" t="s">
        <v>591</v>
      </c>
      <c r="B6" s="4">
        <v>2</v>
      </c>
      <c r="C6" s="4">
        <v>15</v>
      </c>
      <c r="D6" s="4">
        <v>9</v>
      </c>
      <c r="E6" s="4">
        <f>SUM(B6:D6)</f>
        <v>26</v>
      </c>
    </row>
    <row r="7" spans="1:5" x14ac:dyDescent="0.25">
      <c r="A7" s="4" t="s">
        <v>592</v>
      </c>
      <c r="B7" s="4">
        <v>1</v>
      </c>
      <c r="C7" s="4">
        <v>16</v>
      </c>
      <c r="D7" s="4">
        <v>1</v>
      </c>
      <c r="E7" s="4">
        <f>SUM(B7:D7)</f>
        <v>18</v>
      </c>
    </row>
    <row r="8" spans="1:5" x14ac:dyDescent="0.25">
      <c r="A8" s="4" t="s">
        <v>593</v>
      </c>
      <c r="B8" s="4">
        <v>0</v>
      </c>
      <c r="C8" s="4">
        <v>1</v>
      </c>
      <c r="D8" s="4">
        <v>1</v>
      </c>
      <c r="E8" s="4">
        <f>SUM(B8:D8)</f>
        <v>2</v>
      </c>
    </row>
    <row r="9" spans="1:5" x14ac:dyDescent="0.25">
      <c r="A9" s="6" t="s">
        <v>53</v>
      </c>
      <c r="B9" s="6">
        <f>SUM(B6:B8)</f>
        <v>3</v>
      </c>
      <c r="C9" s="6">
        <f>SUM(C6:C8)</f>
        <v>32</v>
      </c>
      <c r="D9" s="6">
        <f>SUM(D6:D8)</f>
        <v>11</v>
      </c>
      <c r="E9" s="6">
        <f>SUM(E6:E8)</f>
        <v>46</v>
      </c>
    </row>
    <row r="20" spans="1:5" x14ac:dyDescent="0.25">
      <c r="A20" s="7" t="s">
        <v>594</v>
      </c>
    </row>
    <row r="21" spans="1:5" ht="30" x14ac:dyDescent="0.25">
      <c r="A21" s="3" t="s">
        <v>587</v>
      </c>
      <c r="B21" s="3" t="s">
        <v>588</v>
      </c>
      <c r="C21" s="3" t="s">
        <v>589</v>
      </c>
      <c r="D21" s="3" t="s">
        <v>590</v>
      </c>
      <c r="E21" s="3" t="s">
        <v>53</v>
      </c>
    </row>
    <row r="22" spans="1:5" x14ac:dyDescent="0.25">
      <c r="A22" s="4" t="s">
        <v>591</v>
      </c>
      <c r="B22" s="4">
        <v>16</v>
      </c>
      <c r="C22" s="4">
        <v>2</v>
      </c>
      <c r="D22" s="4">
        <v>14</v>
      </c>
      <c r="E22" s="4">
        <f>SUM(B22:D22)</f>
        <v>32</v>
      </c>
    </row>
    <row r="23" spans="1:5" x14ac:dyDescent="0.25">
      <c r="A23" s="4" t="s">
        <v>592</v>
      </c>
      <c r="B23" s="4">
        <v>8</v>
      </c>
      <c r="C23" s="4">
        <v>11</v>
      </c>
      <c r="D23" s="4">
        <v>7</v>
      </c>
      <c r="E23" s="4">
        <f>SUM(B23:D23)</f>
        <v>26</v>
      </c>
    </row>
    <row r="24" spans="1:5" x14ac:dyDescent="0.25">
      <c r="A24" s="4" t="s">
        <v>593</v>
      </c>
      <c r="B24" s="4">
        <v>0</v>
      </c>
      <c r="C24" s="4">
        <v>1</v>
      </c>
      <c r="D24" s="4">
        <v>4</v>
      </c>
      <c r="E24" s="4">
        <f>SUM(B24:D24)</f>
        <v>5</v>
      </c>
    </row>
    <row r="25" spans="1:5" x14ac:dyDescent="0.25">
      <c r="A25" s="6" t="s">
        <v>53</v>
      </c>
      <c r="B25" s="6">
        <f>SUM(B22:B24)</f>
        <v>24</v>
      </c>
      <c r="C25" s="6">
        <f>SUM(C22:C24)</f>
        <v>14</v>
      </c>
      <c r="D25" s="6">
        <f>SUM(D22:D24)</f>
        <v>25</v>
      </c>
      <c r="E25" s="6">
        <f>SUM(E22:E24)</f>
        <v>63</v>
      </c>
    </row>
    <row r="36" spans="1:5" x14ac:dyDescent="0.25">
      <c r="A36" s="7" t="s">
        <v>595</v>
      </c>
    </row>
    <row r="37" spans="1:5" ht="30" x14ac:dyDescent="0.25">
      <c r="A37" s="3" t="s">
        <v>587</v>
      </c>
      <c r="B37" s="3" t="s">
        <v>588</v>
      </c>
      <c r="C37" s="3" t="s">
        <v>589</v>
      </c>
      <c r="D37" s="3" t="s">
        <v>590</v>
      </c>
      <c r="E37" s="3" t="s">
        <v>53</v>
      </c>
    </row>
    <row r="38" spans="1:5" x14ac:dyDescent="0.25">
      <c r="A38" s="4" t="s">
        <v>591</v>
      </c>
      <c r="B38" s="4">
        <v>20</v>
      </c>
      <c r="C38" s="4">
        <v>8</v>
      </c>
      <c r="D38" s="4">
        <v>7</v>
      </c>
      <c r="E38" s="4">
        <f>SUM(B38:D38)</f>
        <v>35</v>
      </c>
    </row>
    <row r="39" spans="1:5" x14ac:dyDescent="0.25">
      <c r="A39" s="4" t="s">
        <v>592</v>
      </c>
      <c r="B39" s="4">
        <v>4</v>
      </c>
      <c r="C39" s="4">
        <v>11</v>
      </c>
      <c r="D39" s="4">
        <v>4</v>
      </c>
      <c r="E39" s="4">
        <f>SUM(B39:D39)</f>
        <v>19</v>
      </c>
    </row>
    <row r="40" spans="1:5" x14ac:dyDescent="0.25">
      <c r="A40" s="4" t="s">
        <v>593</v>
      </c>
      <c r="B40" s="4">
        <v>0</v>
      </c>
      <c r="C40" s="4">
        <v>0</v>
      </c>
      <c r="D40" s="4">
        <v>0</v>
      </c>
      <c r="E40" s="4">
        <f>SUM(B40:D40)</f>
        <v>0</v>
      </c>
    </row>
    <row r="41" spans="1:5" x14ac:dyDescent="0.25">
      <c r="A41" s="6" t="s">
        <v>53</v>
      </c>
      <c r="B41" s="6">
        <f>SUM(B38:B40)</f>
        <v>24</v>
      </c>
      <c r="C41" s="6">
        <f>SUM(C38:C40)</f>
        <v>19</v>
      </c>
      <c r="D41" s="6">
        <f>SUM(D38:D40)</f>
        <v>11</v>
      </c>
      <c r="E41" s="6">
        <f>SUM(E38:E40)</f>
        <v>54</v>
      </c>
    </row>
    <row r="52" spans="1:5" x14ac:dyDescent="0.25">
      <c r="A52" s="7" t="s">
        <v>596</v>
      </c>
    </row>
    <row r="53" spans="1:5" ht="30" x14ac:dyDescent="0.25">
      <c r="A53" s="3" t="s">
        <v>587</v>
      </c>
      <c r="B53" s="3" t="s">
        <v>588</v>
      </c>
      <c r="C53" s="3" t="s">
        <v>589</v>
      </c>
      <c r="D53" s="3" t="s">
        <v>590</v>
      </c>
      <c r="E53" s="3" t="s">
        <v>53</v>
      </c>
    </row>
    <row r="54" spans="1:5" x14ac:dyDescent="0.25">
      <c r="A54" s="4" t="s">
        <v>591</v>
      </c>
      <c r="B54" s="4">
        <v>16</v>
      </c>
      <c r="C54" s="4">
        <v>3</v>
      </c>
      <c r="D54" s="4">
        <v>6</v>
      </c>
      <c r="E54" s="4">
        <f>SUM(B54:D54)</f>
        <v>25</v>
      </c>
    </row>
    <row r="55" spans="1:5" x14ac:dyDescent="0.25">
      <c r="A55" s="4" t="s">
        <v>592</v>
      </c>
      <c r="B55" s="4">
        <v>8</v>
      </c>
      <c r="C55" s="4">
        <v>16</v>
      </c>
      <c r="D55" s="4">
        <v>3</v>
      </c>
      <c r="E55" s="4">
        <f>SUM(B55:D55)</f>
        <v>27</v>
      </c>
    </row>
    <row r="56" spans="1:5" x14ac:dyDescent="0.25">
      <c r="A56" s="4" t="s">
        <v>593</v>
      </c>
      <c r="B56" s="4">
        <v>1</v>
      </c>
      <c r="C56" s="4">
        <v>9</v>
      </c>
      <c r="D56" s="4">
        <v>0</v>
      </c>
      <c r="E56" s="4">
        <f>SUM(B56:D56)</f>
        <v>10</v>
      </c>
    </row>
    <row r="57" spans="1:5" x14ac:dyDescent="0.25">
      <c r="A57" s="6" t="s">
        <v>53</v>
      </c>
      <c r="B57" s="6">
        <f>SUM(B54:B56)</f>
        <v>25</v>
      </c>
      <c r="C57" s="6">
        <f>SUM(C54:C56)</f>
        <v>28</v>
      </c>
      <c r="D57" s="6">
        <f>SUM(D54:D56)</f>
        <v>9</v>
      </c>
      <c r="E57" s="6">
        <f>SUM(E54:E56)</f>
        <v>62</v>
      </c>
    </row>
    <row r="68" spans="1:5" x14ac:dyDescent="0.25">
      <c r="A68" s="7" t="s">
        <v>597</v>
      </c>
    </row>
    <row r="69" spans="1:5" ht="30" x14ac:dyDescent="0.25">
      <c r="A69" s="3" t="s">
        <v>587</v>
      </c>
      <c r="B69" s="3" t="s">
        <v>588</v>
      </c>
      <c r="C69" s="3" t="s">
        <v>589</v>
      </c>
      <c r="D69" s="3" t="s">
        <v>590</v>
      </c>
      <c r="E69" s="3" t="s">
        <v>53</v>
      </c>
    </row>
    <row r="70" spans="1:5" x14ac:dyDescent="0.25">
      <c r="A70" s="4" t="s">
        <v>591</v>
      </c>
      <c r="B70" s="4">
        <v>9</v>
      </c>
      <c r="C70" s="4">
        <v>6</v>
      </c>
      <c r="D70" s="4">
        <v>2</v>
      </c>
      <c r="E70" s="4">
        <f>SUM(B70:D70)</f>
        <v>17</v>
      </c>
    </row>
    <row r="71" spans="1:5" x14ac:dyDescent="0.25">
      <c r="A71" s="4" t="s">
        <v>592</v>
      </c>
      <c r="B71" s="4">
        <v>2</v>
      </c>
      <c r="C71" s="4">
        <v>18</v>
      </c>
      <c r="D71" s="4">
        <v>1</v>
      </c>
      <c r="E71" s="4">
        <f>SUM(B71:D71)</f>
        <v>21</v>
      </c>
    </row>
    <row r="72" spans="1:5" x14ac:dyDescent="0.25">
      <c r="A72" s="4" t="s">
        <v>593</v>
      </c>
      <c r="B72" s="4">
        <v>0</v>
      </c>
      <c r="C72" s="4">
        <v>11</v>
      </c>
      <c r="D72" s="4">
        <v>0</v>
      </c>
      <c r="E72" s="4">
        <f>SUM(B72:D72)</f>
        <v>11</v>
      </c>
    </row>
    <row r="73" spans="1:5" x14ac:dyDescent="0.25">
      <c r="A73" s="6" t="s">
        <v>53</v>
      </c>
      <c r="B73" s="6">
        <f>SUM(B70:B72)</f>
        <v>11</v>
      </c>
      <c r="C73" s="6">
        <f>SUM(C70:C72)</f>
        <v>35</v>
      </c>
      <c r="D73" s="6">
        <f>SUM(D70:D72)</f>
        <v>3</v>
      </c>
      <c r="E73" s="6">
        <f>SUM(E70:E72)</f>
        <v>49</v>
      </c>
    </row>
    <row r="84" spans="1:5" x14ac:dyDescent="0.25">
      <c r="A84" s="7" t="s">
        <v>598</v>
      </c>
    </row>
    <row r="85" spans="1:5" ht="30" x14ac:dyDescent="0.25">
      <c r="A85" s="3" t="s">
        <v>587</v>
      </c>
      <c r="B85" s="3" t="s">
        <v>588</v>
      </c>
      <c r="C85" s="3" t="s">
        <v>589</v>
      </c>
      <c r="D85" s="3" t="s">
        <v>590</v>
      </c>
      <c r="E85" s="3" t="s">
        <v>53</v>
      </c>
    </row>
    <row r="86" spans="1:5" x14ac:dyDescent="0.25">
      <c r="A86" s="4" t="s">
        <v>591</v>
      </c>
      <c r="B86" s="4">
        <v>1</v>
      </c>
      <c r="C86" s="4">
        <v>16</v>
      </c>
      <c r="D86" s="4">
        <v>4</v>
      </c>
      <c r="E86" s="4">
        <f>SUM(B86:D86)</f>
        <v>21</v>
      </c>
    </row>
    <row r="87" spans="1:5" x14ac:dyDescent="0.25">
      <c r="A87" s="4" t="s">
        <v>592</v>
      </c>
      <c r="B87" s="4">
        <v>1</v>
      </c>
      <c r="C87" s="4">
        <v>8</v>
      </c>
      <c r="D87" s="4">
        <v>15</v>
      </c>
      <c r="E87" s="4">
        <f>SUM(B87:D87)</f>
        <v>24</v>
      </c>
    </row>
    <row r="88" spans="1:5" x14ac:dyDescent="0.25">
      <c r="A88" s="4" t="s">
        <v>593</v>
      </c>
      <c r="B88" s="4">
        <v>0</v>
      </c>
      <c r="C88" s="4">
        <v>1</v>
      </c>
      <c r="D88" s="4">
        <v>3</v>
      </c>
      <c r="E88" s="4">
        <f>SUM(B88:D88)</f>
        <v>4</v>
      </c>
    </row>
    <row r="89" spans="1:5" x14ac:dyDescent="0.25">
      <c r="A89" s="6" t="s">
        <v>53</v>
      </c>
      <c r="B89" s="6">
        <f>SUM(B86:B88)</f>
        <v>2</v>
      </c>
      <c r="C89" s="6">
        <f>SUM(C86:C88)</f>
        <v>25</v>
      </c>
      <c r="D89" s="6">
        <f>SUM(D86:D88)</f>
        <v>22</v>
      </c>
      <c r="E89" s="6">
        <f>SUM(E86:E88)</f>
        <v>49</v>
      </c>
    </row>
    <row r="100" spans="1:5" x14ac:dyDescent="0.25">
      <c r="A100" s="7" t="s">
        <v>599</v>
      </c>
    </row>
    <row r="101" spans="1:5" ht="30" x14ac:dyDescent="0.25">
      <c r="A101" s="3" t="s">
        <v>587</v>
      </c>
      <c r="B101" s="3" t="s">
        <v>588</v>
      </c>
      <c r="C101" s="3" t="s">
        <v>589</v>
      </c>
      <c r="D101" s="3" t="s">
        <v>590</v>
      </c>
      <c r="E101" s="3" t="s">
        <v>53</v>
      </c>
    </row>
    <row r="102" spans="1:5" x14ac:dyDescent="0.25">
      <c r="A102" s="4" t="s">
        <v>591</v>
      </c>
      <c r="B102" s="4">
        <v>8</v>
      </c>
      <c r="C102" s="4">
        <v>1</v>
      </c>
      <c r="D102" s="4">
        <v>0</v>
      </c>
      <c r="E102" s="4">
        <f>SUM(B102:D102)</f>
        <v>9</v>
      </c>
    </row>
    <row r="103" spans="1:5" x14ac:dyDescent="0.25">
      <c r="A103" s="4" t="s">
        <v>592</v>
      </c>
      <c r="B103" s="4">
        <v>0</v>
      </c>
      <c r="C103" s="4">
        <v>9</v>
      </c>
      <c r="D103" s="4">
        <v>6</v>
      </c>
      <c r="E103" s="4">
        <f>SUM(B103:D103)</f>
        <v>15</v>
      </c>
    </row>
    <row r="104" spans="1:5" x14ac:dyDescent="0.25">
      <c r="A104" s="4" t="s">
        <v>593</v>
      </c>
      <c r="B104" s="4">
        <v>3</v>
      </c>
      <c r="C104" s="4">
        <v>1</v>
      </c>
      <c r="D104" s="4">
        <v>0</v>
      </c>
      <c r="E104" s="4">
        <f>SUM(B104:D104)</f>
        <v>4</v>
      </c>
    </row>
    <row r="105" spans="1:5" x14ac:dyDescent="0.25">
      <c r="A105" s="6" t="s">
        <v>53</v>
      </c>
      <c r="B105" s="6">
        <f>SUM(B102:B104)</f>
        <v>11</v>
      </c>
      <c r="C105" s="6">
        <f>SUM(C102:C104)</f>
        <v>11</v>
      </c>
      <c r="D105" s="6">
        <f>SUM(D102:D104)</f>
        <v>6</v>
      </c>
      <c r="E105" s="6">
        <f>SUM(E102:E104)</f>
        <v>28</v>
      </c>
    </row>
    <row r="116" spans="1:5" x14ac:dyDescent="0.25">
      <c r="A116" s="7" t="s">
        <v>600</v>
      </c>
    </row>
    <row r="117" spans="1:5" ht="30" x14ac:dyDescent="0.25">
      <c r="A117" s="3" t="s">
        <v>587</v>
      </c>
      <c r="B117" s="3" t="s">
        <v>588</v>
      </c>
      <c r="C117" s="3" t="s">
        <v>589</v>
      </c>
      <c r="D117" s="3" t="s">
        <v>590</v>
      </c>
      <c r="E117" s="3" t="s">
        <v>53</v>
      </c>
    </row>
    <row r="118" spans="1:5" x14ac:dyDescent="0.25">
      <c r="A118" s="4" t="s">
        <v>591</v>
      </c>
      <c r="B118" s="4">
        <v>8</v>
      </c>
      <c r="C118" s="4">
        <v>0</v>
      </c>
      <c r="D118" s="4">
        <v>0</v>
      </c>
      <c r="E118" s="4">
        <f>SUM(B118:D118)</f>
        <v>8</v>
      </c>
    </row>
    <row r="119" spans="1:5" x14ac:dyDescent="0.25">
      <c r="A119" s="4" t="s">
        <v>592</v>
      </c>
      <c r="B119" s="4">
        <v>2</v>
      </c>
      <c r="C119" s="4">
        <v>1</v>
      </c>
      <c r="D119" s="4">
        <v>0</v>
      </c>
      <c r="E119" s="4">
        <f>SUM(B119:D119)</f>
        <v>3</v>
      </c>
    </row>
    <row r="120" spans="1:5" x14ac:dyDescent="0.25">
      <c r="A120" s="4" t="s">
        <v>593</v>
      </c>
      <c r="B120" s="4">
        <v>0</v>
      </c>
      <c r="C120" s="4">
        <v>0</v>
      </c>
      <c r="D120" s="4">
        <v>0</v>
      </c>
      <c r="E120" s="4">
        <f>SUM(B120:D120)</f>
        <v>0</v>
      </c>
    </row>
    <row r="121" spans="1:5" x14ac:dyDescent="0.25">
      <c r="A121" s="6" t="s">
        <v>53</v>
      </c>
      <c r="B121" s="6">
        <f>SUM(B118:B120)</f>
        <v>10</v>
      </c>
      <c r="C121" s="6">
        <f>SUM(C118:C120)</f>
        <v>1</v>
      </c>
      <c r="D121" s="6">
        <f>SUM(D118:D120)</f>
        <v>0</v>
      </c>
      <c r="E121" s="6">
        <f>SUM(E118:E120)</f>
        <v>11</v>
      </c>
    </row>
    <row r="132" spans="1:5" x14ac:dyDescent="0.25">
      <c r="A132" s="7" t="s">
        <v>601</v>
      </c>
    </row>
    <row r="133" spans="1:5" ht="30" x14ac:dyDescent="0.25">
      <c r="A133" s="3" t="s">
        <v>587</v>
      </c>
      <c r="B133" s="3" t="s">
        <v>588</v>
      </c>
      <c r="C133" s="3" t="s">
        <v>589</v>
      </c>
      <c r="D133" s="3" t="s">
        <v>590</v>
      </c>
      <c r="E133" s="3" t="s">
        <v>53</v>
      </c>
    </row>
    <row r="134" spans="1:5" x14ac:dyDescent="0.25">
      <c r="A134" s="4" t="s">
        <v>591</v>
      </c>
      <c r="B134" s="4">
        <v>4</v>
      </c>
      <c r="C134" s="4">
        <v>3</v>
      </c>
      <c r="D134" s="4">
        <v>1</v>
      </c>
      <c r="E134" s="4">
        <f>SUM(B134:D134)</f>
        <v>8</v>
      </c>
    </row>
    <row r="135" spans="1:5" x14ac:dyDescent="0.25">
      <c r="A135" s="4" t="s">
        <v>592</v>
      </c>
      <c r="B135" s="4">
        <v>11</v>
      </c>
      <c r="C135" s="4">
        <v>4</v>
      </c>
      <c r="D135" s="4">
        <v>4</v>
      </c>
      <c r="E135" s="4">
        <f>SUM(B135:D135)</f>
        <v>19</v>
      </c>
    </row>
    <row r="136" spans="1:5" x14ac:dyDescent="0.25">
      <c r="A136" s="4" t="s">
        <v>593</v>
      </c>
      <c r="B136" s="4">
        <v>2</v>
      </c>
      <c r="C136" s="4">
        <v>7</v>
      </c>
      <c r="D136" s="4">
        <v>1</v>
      </c>
      <c r="E136" s="4">
        <f>SUM(B136:D136)</f>
        <v>10</v>
      </c>
    </row>
    <row r="137" spans="1:5" x14ac:dyDescent="0.25">
      <c r="A137" s="6" t="s">
        <v>53</v>
      </c>
      <c r="B137" s="6">
        <f>SUM(B134:B136)</f>
        <v>17</v>
      </c>
      <c r="C137" s="6">
        <f>SUM(C134:C136)</f>
        <v>14</v>
      </c>
      <c r="D137" s="6">
        <f>SUM(D134:D136)</f>
        <v>6</v>
      </c>
      <c r="E137" s="6">
        <f>SUM(E134:E136)</f>
        <v>37</v>
      </c>
    </row>
    <row r="148" spans="1:5" x14ac:dyDescent="0.25">
      <c r="A148" s="7" t="s">
        <v>602</v>
      </c>
    </row>
    <row r="149" spans="1:5" ht="30" x14ac:dyDescent="0.25">
      <c r="A149" s="3" t="s">
        <v>587</v>
      </c>
      <c r="B149" s="3" t="s">
        <v>588</v>
      </c>
      <c r="C149" s="3" t="s">
        <v>589</v>
      </c>
      <c r="D149" s="3" t="s">
        <v>590</v>
      </c>
      <c r="E149" s="3" t="s">
        <v>53</v>
      </c>
    </row>
    <row r="150" spans="1:5" x14ac:dyDescent="0.25">
      <c r="A150" s="4" t="s">
        <v>591</v>
      </c>
      <c r="B150" s="4">
        <v>23</v>
      </c>
      <c r="C150" s="4">
        <v>7</v>
      </c>
      <c r="D150" s="4">
        <v>5</v>
      </c>
      <c r="E150" s="4">
        <f>SUM(B150:D150)</f>
        <v>35</v>
      </c>
    </row>
    <row r="151" spans="1:5" x14ac:dyDescent="0.25">
      <c r="A151" s="4" t="s">
        <v>592</v>
      </c>
      <c r="B151" s="4">
        <v>22</v>
      </c>
      <c r="C151" s="4">
        <v>6</v>
      </c>
      <c r="D151" s="4">
        <v>0</v>
      </c>
      <c r="E151" s="4">
        <f>SUM(B151:D151)</f>
        <v>28</v>
      </c>
    </row>
    <row r="152" spans="1:5" x14ac:dyDescent="0.25">
      <c r="A152" s="4" t="s">
        <v>593</v>
      </c>
      <c r="B152" s="4">
        <v>8</v>
      </c>
      <c r="C152" s="4">
        <v>0</v>
      </c>
      <c r="D152" s="4">
        <v>1</v>
      </c>
      <c r="E152" s="4">
        <f>SUM(B152:D152)</f>
        <v>9</v>
      </c>
    </row>
    <row r="153" spans="1:5" x14ac:dyDescent="0.25">
      <c r="A153" s="6" t="s">
        <v>53</v>
      </c>
      <c r="B153" s="6">
        <f>SUM(B150:B152)</f>
        <v>53</v>
      </c>
      <c r="C153" s="6">
        <f>SUM(C150:C152)</f>
        <v>13</v>
      </c>
      <c r="D153" s="6">
        <f>SUM(D150:D152)</f>
        <v>6</v>
      </c>
      <c r="E153" s="6">
        <f>SUM(E150:E152)</f>
        <v>72</v>
      </c>
    </row>
    <row r="164" spans="1:5" x14ac:dyDescent="0.25">
      <c r="A164" s="7" t="s">
        <v>603</v>
      </c>
    </row>
    <row r="165" spans="1:5" ht="30" x14ac:dyDescent="0.25">
      <c r="A165" s="3" t="s">
        <v>587</v>
      </c>
      <c r="B165" s="3" t="s">
        <v>588</v>
      </c>
      <c r="C165" s="3" t="s">
        <v>589</v>
      </c>
      <c r="D165" s="3" t="s">
        <v>590</v>
      </c>
      <c r="E165" s="3" t="s">
        <v>53</v>
      </c>
    </row>
    <row r="166" spans="1:5" x14ac:dyDescent="0.25">
      <c r="A166" s="4" t="s">
        <v>591</v>
      </c>
      <c r="B166" s="4">
        <v>22</v>
      </c>
      <c r="C166" s="4">
        <v>1</v>
      </c>
      <c r="D166" s="4">
        <v>2</v>
      </c>
      <c r="E166" s="4">
        <f>SUM(B166:D166)</f>
        <v>25</v>
      </c>
    </row>
    <row r="167" spans="1:5" x14ac:dyDescent="0.25">
      <c r="A167" s="4" t="s">
        <v>592</v>
      </c>
      <c r="B167" s="4">
        <v>7</v>
      </c>
      <c r="C167" s="4">
        <v>3</v>
      </c>
      <c r="D167" s="4">
        <v>1</v>
      </c>
      <c r="E167" s="4">
        <f>SUM(B167:D167)</f>
        <v>11</v>
      </c>
    </row>
    <row r="168" spans="1:5" x14ac:dyDescent="0.25">
      <c r="A168" s="4" t="s">
        <v>593</v>
      </c>
      <c r="B168" s="4">
        <v>6</v>
      </c>
      <c r="C168" s="4">
        <v>1</v>
      </c>
      <c r="D168" s="4">
        <v>0</v>
      </c>
      <c r="E168" s="4">
        <f>SUM(B168:D168)</f>
        <v>7</v>
      </c>
    </row>
    <row r="169" spans="1:5" x14ac:dyDescent="0.25">
      <c r="A169" s="6" t="s">
        <v>53</v>
      </c>
      <c r="B169" s="6">
        <f>SUM(B166:B168)</f>
        <v>35</v>
      </c>
      <c r="C169" s="6">
        <f>SUM(C166:C168)</f>
        <v>5</v>
      </c>
      <c r="D169" s="6">
        <f>SUM(D166:D168)</f>
        <v>3</v>
      </c>
      <c r="E169" s="6">
        <f>SUM(E166:E168)</f>
        <v>43</v>
      </c>
    </row>
    <row r="180" spans="1:5" x14ac:dyDescent="0.25">
      <c r="A180" s="7" t="s">
        <v>604</v>
      </c>
    </row>
    <row r="181" spans="1:5" ht="30" x14ac:dyDescent="0.25">
      <c r="A181" s="3" t="s">
        <v>587</v>
      </c>
      <c r="B181" s="3" t="s">
        <v>588</v>
      </c>
      <c r="C181" s="3" t="s">
        <v>589</v>
      </c>
      <c r="D181" s="3" t="s">
        <v>590</v>
      </c>
      <c r="E181" s="3" t="s">
        <v>53</v>
      </c>
    </row>
    <row r="182" spans="1:5" x14ac:dyDescent="0.25">
      <c r="A182" s="4" t="s">
        <v>591</v>
      </c>
      <c r="B182" s="4">
        <v>13</v>
      </c>
      <c r="C182" s="4">
        <v>0</v>
      </c>
      <c r="D182" s="4">
        <v>3</v>
      </c>
      <c r="E182" s="4">
        <f>SUM(B182:D182)</f>
        <v>16</v>
      </c>
    </row>
    <row r="183" spans="1:5" x14ac:dyDescent="0.25">
      <c r="A183" s="4" t="s">
        <v>592</v>
      </c>
      <c r="B183" s="4">
        <v>7</v>
      </c>
      <c r="C183" s="4">
        <v>2</v>
      </c>
      <c r="D183" s="4">
        <v>3</v>
      </c>
      <c r="E183" s="4">
        <f>SUM(B183:D183)</f>
        <v>12</v>
      </c>
    </row>
    <row r="184" spans="1:5" x14ac:dyDescent="0.25">
      <c r="A184" s="4" t="s">
        <v>593</v>
      </c>
      <c r="B184" s="4">
        <v>7</v>
      </c>
      <c r="C184" s="4">
        <v>1</v>
      </c>
      <c r="D184" s="4">
        <v>0</v>
      </c>
      <c r="E184" s="4">
        <f>SUM(B184:D184)</f>
        <v>8</v>
      </c>
    </row>
    <row r="185" spans="1:5" x14ac:dyDescent="0.25">
      <c r="A185" s="6" t="s">
        <v>53</v>
      </c>
      <c r="B185" s="6">
        <f>SUM(B182:B184)</f>
        <v>27</v>
      </c>
      <c r="C185" s="6">
        <f>SUM(C182:C184)</f>
        <v>3</v>
      </c>
      <c r="D185" s="6">
        <f>SUM(D182:D184)</f>
        <v>6</v>
      </c>
      <c r="E185" s="6">
        <f>SUM(E182:E184)</f>
        <v>36</v>
      </c>
    </row>
    <row r="196" spans="1:5" x14ac:dyDescent="0.25">
      <c r="A196" s="7" t="s">
        <v>605</v>
      </c>
    </row>
    <row r="197" spans="1:5" ht="30" x14ac:dyDescent="0.25">
      <c r="A197" s="3" t="s">
        <v>587</v>
      </c>
      <c r="B197" s="3" t="s">
        <v>588</v>
      </c>
      <c r="C197" s="3" t="s">
        <v>589</v>
      </c>
      <c r="D197" s="3" t="s">
        <v>590</v>
      </c>
      <c r="E197" s="3" t="s">
        <v>53</v>
      </c>
    </row>
    <row r="198" spans="1:5" x14ac:dyDescent="0.25">
      <c r="A198" s="4" t="s">
        <v>591</v>
      </c>
      <c r="B198" s="4">
        <v>3</v>
      </c>
      <c r="C198" s="4">
        <v>7</v>
      </c>
      <c r="D198" s="4">
        <v>6</v>
      </c>
      <c r="E198" s="4">
        <f>SUM(B198:D198)</f>
        <v>16</v>
      </c>
    </row>
    <row r="199" spans="1:5" x14ac:dyDescent="0.25">
      <c r="A199" s="4" t="s">
        <v>592</v>
      </c>
      <c r="B199" s="4">
        <v>0</v>
      </c>
      <c r="C199" s="4">
        <v>2</v>
      </c>
      <c r="D199" s="4">
        <v>7</v>
      </c>
      <c r="E199" s="4">
        <f>SUM(B199:D199)</f>
        <v>9</v>
      </c>
    </row>
    <row r="200" spans="1:5" x14ac:dyDescent="0.25">
      <c r="A200" s="4" t="s">
        <v>593</v>
      </c>
      <c r="B200" s="4">
        <v>1</v>
      </c>
      <c r="C200" s="4">
        <v>3</v>
      </c>
      <c r="D200" s="4">
        <v>1</v>
      </c>
      <c r="E200" s="4">
        <f>SUM(B200:D200)</f>
        <v>5</v>
      </c>
    </row>
    <row r="201" spans="1:5" x14ac:dyDescent="0.25">
      <c r="A201" s="6" t="s">
        <v>53</v>
      </c>
      <c r="B201" s="6">
        <f>SUM(B198:B200)</f>
        <v>4</v>
      </c>
      <c r="C201" s="6">
        <f>SUM(C198:C200)</f>
        <v>12</v>
      </c>
      <c r="D201" s="6">
        <f>SUM(D198:D200)</f>
        <v>14</v>
      </c>
      <c r="E201" s="6">
        <f>SUM(E198:E200)</f>
        <v>30</v>
      </c>
    </row>
    <row r="212" spans="1:5" x14ac:dyDescent="0.25">
      <c r="A212" s="7" t="s">
        <v>606</v>
      </c>
    </row>
    <row r="213" spans="1:5" ht="30" x14ac:dyDescent="0.25">
      <c r="A213" s="3" t="s">
        <v>587</v>
      </c>
      <c r="B213" s="3" t="s">
        <v>588</v>
      </c>
      <c r="C213" s="3" t="s">
        <v>589</v>
      </c>
      <c r="D213" s="3" t="s">
        <v>590</v>
      </c>
      <c r="E213" s="3" t="s">
        <v>53</v>
      </c>
    </row>
    <row r="214" spans="1:5" x14ac:dyDescent="0.25">
      <c r="A214" s="4" t="s">
        <v>591</v>
      </c>
      <c r="B214" s="4">
        <v>10</v>
      </c>
      <c r="C214" s="4">
        <v>0</v>
      </c>
      <c r="D214" s="4">
        <v>3</v>
      </c>
      <c r="E214" s="4">
        <f>SUM(B214:D214)</f>
        <v>13</v>
      </c>
    </row>
    <row r="215" spans="1:5" x14ac:dyDescent="0.25">
      <c r="A215" s="4" t="s">
        <v>592</v>
      </c>
      <c r="B215" s="4">
        <v>11</v>
      </c>
      <c r="C215" s="4">
        <v>1</v>
      </c>
      <c r="D215" s="4">
        <v>0</v>
      </c>
      <c r="E215" s="4">
        <f>SUM(B215:D215)</f>
        <v>12</v>
      </c>
    </row>
    <row r="216" spans="1:5" x14ac:dyDescent="0.25">
      <c r="A216" s="4" t="s">
        <v>593</v>
      </c>
      <c r="B216" s="4">
        <v>2</v>
      </c>
      <c r="C216" s="4">
        <v>2</v>
      </c>
      <c r="D216" s="4">
        <v>1</v>
      </c>
      <c r="E216" s="4">
        <f>SUM(B216:D216)</f>
        <v>5</v>
      </c>
    </row>
    <row r="217" spans="1:5" x14ac:dyDescent="0.25">
      <c r="A217" s="6" t="s">
        <v>53</v>
      </c>
      <c r="B217" s="6">
        <f>SUM(B214:B216)</f>
        <v>23</v>
      </c>
      <c r="C217" s="6">
        <f>SUM(C214:C216)</f>
        <v>3</v>
      </c>
      <c r="D217" s="6">
        <f>SUM(D214:D216)</f>
        <v>4</v>
      </c>
      <c r="E217" s="6">
        <f>SUM(E214:E216)</f>
        <v>30</v>
      </c>
    </row>
    <row r="228" spans="1:5" x14ac:dyDescent="0.25">
      <c r="A228" s="7" t="s">
        <v>607</v>
      </c>
    </row>
    <row r="229" spans="1:5" ht="30" x14ac:dyDescent="0.25">
      <c r="A229" s="3" t="s">
        <v>587</v>
      </c>
      <c r="B229" s="3" t="s">
        <v>588</v>
      </c>
      <c r="C229" s="3" t="s">
        <v>589</v>
      </c>
      <c r="D229" s="3" t="s">
        <v>590</v>
      </c>
      <c r="E229" s="3" t="s">
        <v>53</v>
      </c>
    </row>
    <row r="230" spans="1:5" x14ac:dyDescent="0.25">
      <c r="A230" s="4" t="s">
        <v>591</v>
      </c>
      <c r="B230" s="4">
        <v>0</v>
      </c>
      <c r="C230" s="4">
        <v>0</v>
      </c>
      <c r="D230" s="4">
        <v>29</v>
      </c>
      <c r="E230" s="4">
        <f>SUM(B230:D230)</f>
        <v>29</v>
      </c>
    </row>
    <row r="231" spans="1:5" x14ac:dyDescent="0.25">
      <c r="A231" s="4" t="s">
        <v>592</v>
      </c>
      <c r="B231" s="4">
        <v>0</v>
      </c>
      <c r="C231" s="4">
        <v>0</v>
      </c>
      <c r="D231" s="4">
        <v>1</v>
      </c>
      <c r="E231" s="4">
        <f>SUM(B231:D231)</f>
        <v>1</v>
      </c>
    </row>
    <row r="232" spans="1:5" x14ac:dyDescent="0.25">
      <c r="A232" s="4" t="s">
        <v>593</v>
      </c>
      <c r="B232" s="4">
        <v>0</v>
      </c>
      <c r="C232" s="4">
        <v>0</v>
      </c>
      <c r="D232" s="4">
        <v>0</v>
      </c>
      <c r="E232" s="4">
        <f>SUM(B232:D232)</f>
        <v>0</v>
      </c>
    </row>
    <row r="233" spans="1:5" x14ac:dyDescent="0.25">
      <c r="A233" s="6" t="s">
        <v>53</v>
      </c>
      <c r="B233" s="6">
        <f>SUM(B230:B232)</f>
        <v>0</v>
      </c>
      <c r="C233" s="6">
        <f>SUM(C230:C232)</f>
        <v>0</v>
      </c>
      <c r="D233" s="6">
        <f>SUM(D230:D232)</f>
        <v>30</v>
      </c>
      <c r="E233" s="6">
        <f>SUM(E230:E232)</f>
        <v>30</v>
      </c>
    </row>
    <row r="244" spans="1:5" x14ac:dyDescent="0.25">
      <c r="A244" s="7" t="s">
        <v>608</v>
      </c>
    </row>
    <row r="245" spans="1:5" ht="30" x14ac:dyDescent="0.25">
      <c r="A245" s="3" t="s">
        <v>587</v>
      </c>
      <c r="B245" s="3" t="s">
        <v>588</v>
      </c>
      <c r="C245" s="3" t="s">
        <v>589</v>
      </c>
      <c r="D245" s="3" t="s">
        <v>590</v>
      </c>
      <c r="E245" s="3" t="s">
        <v>53</v>
      </c>
    </row>
    <row r="246" spans="1:5" x14ac:dyDescent="0.25">
      <c r="A246" s="4" t="s">
        <v>591</v>
      </c>
      <c r="B246" s="4">
        <v>3</v>
      </c>
      <c r="C246" s="4">
        <v>0</v>
      </c>
      <c r="D246" s="4">
        <v>3</v>
      </c>
      <c r="E246" s="4">
        <f>SUM(B246:D246)</f>
        <v>6</v>
      </c>
    </row>
    <row r="247" spans="1:5" x14ac:dyDescent="0.25">
      <c r="A247" s="4" t="s">
        <v>592</v>
      </c>
      <c r="B247" s="4">
        <v>6</v>
      </c>
      <c r="C247" s="4">
        <v>1</v>
      </c>
      <c r="D247" s="4">
        <v>2</v>
      </c>
      <c r="E247" s="4">
        <f>SUM(B247:D247)</f>
        <v>9</v>
      </c>
    </row>
    <row r="248" spans="1:5" x14ac:dyDescent="0.25">
      <c r="A248" s="4" t="s">
        <v>593</v>
      </c>
      <c r="B248" s="4">
        <v>4</v>
      </c>
      <c r="C248" s="4">
        <v>1</v>
      </c>
      <c r="D248" s="4">
        <v>2</v>
      </c>
      <c r="E248" s="4">
        <f>SUM(B248:D248)</f>
        <v>7</v>
      </c>
    </row>
    <row r="249" spans="1:5" x14ac:dyDescent="0.25">
      <c r="A249" s="6" t="s">
        <v>53</v>
      </c>
      <c r="B249" s="6">
        <f>SUM(B246:B248)</f>
        <v>13</v>
      </c>
      <c r="C249" s="6">
        <f>SUM(C246:C248)</f>
        <v>2</v>
      </c>
      <c r="D249" s="6">
        <f>SUM(D246:D248)</f>
        <v>7</v>
      </c>
      <c r="E249" s="6">
        <f>SUM(E246:E248)</f>
        <v>22</v>
      </c>
    </row>
    <row r="260" spans="1:5" x14ac:dyDescent="0.25">
      <c r="A260" s="7" t="s">
        <v>609</v>
      </c>
    </row>
    <row r="261" spans="1:5" ht="30" x14ac:dyDescent="0.25">
      <c r="A261" s="3" t="s">
        <v>587</v>
      </c>
      <c r="B261" s="3" t="s">
        <v>588</v>
      </c>
      <c r="C261" s="3" t="s">
        <v>589</v>
      </c>
      <c r="D261" s="3" t="s">
        <v>590</v>
      </c>
      <c r="E261" s="3" t="s">
        <v>53</v>
      </c>
    </row>
    <row r="262" spans="1:5" x14ac:dyDescent="0.25">
      <c r="A262" s="4" t="s">
        <v>591</v>
      </c>
      <c r="B262" s="4">
        <v>7</v>
      </c>
      <c r="C262" s="4">
        <v>0</v>
      </c>
      <c r="D262" s="4">
        <v>15</v>
      </c>
      <c r="E262" s="4">
        <f>SUM(B262:D262)</f>
        <v>22</v>
      </c>
    </row>
    <row r="263" spans="1:5" x14ac:dyDescent="0.25">
      <c r="A263" s="4" t="s">
        <v>592</v>
      </c>
      <c r="B263" s="4">
        <v>1</v>
      </c>
      <c r="C263" s="4">
        <v>0</v>
      </c>
      <c r="D263" s="4">
        <v>0</v>
      </c>
      <c r="E263" s="4">
        <f>SUM(B263:D263)</f>
        <v>1</v>
      </c>
    </row>
    <row r="264" spans="1:5" x14ac:dyDescent="0.25">
      <c r="A264" s="4" t="s">
        <v>593</v>
      </c>
      <c r="B264" s="4">
        <v>0</v>
      </c>
      <c r="C264" s="4">
        <v>0</v>
      </c>
      <c r="D264" s="4">
        <v>0</v>
      </c>
      <c r="E264" s="4">
        <f>SUM(B264:D264)</f>
        <v>0</v>
      </c>
    </row>
    <row r="265" spans="1:5" x14ac:dyDescent="0.25">
      <c r="A265" s="6" t="s">
        <v>53</v>
      </c>
      <c r="B265" s="6">
        <f>SUM(B262:B264)</f>
        <v>8</v>
      </c>
      <c r="C265" s="6">
        <f>SUM(C262:C264)</f>
        <v>0</v>
      </c>
      <c r="D265" s="6">
        <f>SUM(D262:D264)</f>
        <v>15</v>
      </c>
      <c r="E265" s="6">
        <f>SUM(E262:E264)</f>
        <v>23</v>
      </c>
    </row>
    <row r="276" spans="1:5" x14ac:dyDescent="0.25">
      <c r="A276" s="7" t="s">
        <v>610</v>
      </c>
    </row>
    <row r="277" spans="1:5" ht="30" x14ac:dyDescent="0.25">
      <c r="A277" s="3" t="s">
        <v>587</v>
      </c>
      <c r="B277" s="3" t="s">
        <v>588</v>
      </c>
      <c r="C277" s="3" t="s">
        <v>589</v>
      </c>
      <c r="D277" s="3" t="s">
        <v>590</v>
      </c>
      <c r="E277" s="3" t="s">
        <v>53</v>
      </c>
    </row>
    <row r="278" spans="1:5" x14ac:dyDescent="0.25">
      <c r="A278" s="4" t="s">
        <v>591</v>
      </c>
      <c r="B278" s="4">
        <v>6</v>
      </c>
      <c r="C278" s="4">
        <v>0</v>
      </c>
      <c r="D278" s="4">
        <v>10</v>
      </c>
      <c r="E278" s="4">
        <f>SUM(B278:D278)</f>
        <v>16</v>
      </c>
    </row>
    <row r="279" spans="1:5" x14ac:dyDescent="0.25">
      <c r="A279" s="4" t="s">
        <v>592</v>
      </c>
      <c r="B279" s="4">
        <v>3</v>
      </c>
      <c r="C279" s="4">
        <v>4</v>
      </c>
      <c r="D279" s="4">
        <v>12</v>
      </c>
      <c r="E279" s="4">
        <f>SUM(B279:D279)</f>
        <v>19</v>
      </c>
    </row>
    <row r="280" spans="1:5" x14ac:dyDescent="0.25">
      <c r="A280" s="4" t="s">
        <v>593</v>
      </c>
      <c r="B280" s="4">
        <v>1</v>
      </c>
      <c r="C280" s="4">
        <v>2</v>
      </c>
      <c r="D280" s="4">
        <v>1</v>
      </c>
      <c r="E280" s="4">
        <f>SUM(B280:D280)</f>
        <v>4</v>
      </c>
    </row>
    <row r="281" spans="1:5" x14ac:dyDescent="0.25">
      <c r="A281" s="6" t="s">
        <v>53</v>
      </c>
      <c r="B281" s="6">
        <f>SUM(B278:B280)</f>
        <v>10</v>
      </c>
      <c r="C281" s="6">
        <f>SUM(C278:C280)</f>
        <v>6</v>
      </c>
      <c r="D281" s="6">
        <f>SUM(D278:D280)</f>
        <v>23</v>
      </c>
      <c r="E281" s="6">
        <f>SUM(E278:E280)</f>
        <v>39</v>
      </c>
    </row>
    <row r="292" spans="1:5" x14ac:dyDescent="0.25">
      <c r="A292" s="7" t="s">
        <v>611</v>
      </c>
    </row>
    <row r="293" spans="1:5" ht="30" x14ac:dyDescent="0.25">
      <c r="A293" s="3" t="s">
        <v>587</v>
      </c>
      <c r="B293" s="3" t="s">
        <v>588</v>
      </c>
      <c r="C293" s="3" t="s">
        <v>589</v>
      </c>
      <c r="D293" s="3" t="s">
        <v>590</v>
      </c>
      <c r="E293" s="3" t="s">
        <v>53</v>
      </c>
    </row>
    <row r="294" spans="1:5" x14ac:dyDescent="0.25">
      <c r="A294" s="4" t="s">
        <v>591</v>
      </c>
      <c r="B294" s="4">
        <v>3</v>
      </c>
      <c r="C294" s="4">
        <v>1</v>
      </c>
      <c r="D294" s="4">
        <v>1</v>
      </c>
      <c r="E294" s="4">
        <f>SUM(B294:D294)</f>
        <v>5</v>
      </c>
    </row>
    <row r="295" spans="1:5" x14ac:dyDescent="0.25">
      <c r="A295" s="4" t="s">
        <v>592</v>
      </c>
      <c r="B295" s="4">
        <v>1</v>
      </c>
      <c r="C295" s="4">
        <v>1</v>
      </c>
      <c r="D295" s="4">
        <v>2</v>
      </c>
      <c r="E295" s="4">
        <f>SUM(B295:D295)</f>
        <v>4</v>
      </c>
    </row>
    <row r="296" spans="1:5" x14ac:dyDescent="0.25">
      <c r="A296" s="4" t="s">
        <v>593</v>
      </c>
      <c r="B296" s="4">
        <v>1</v>
      </c>
      <c r="C296" s="4">
        <v>2</v>
      </c>
      <c r="D296" s="4">
        <v>9</v>
      </c>
      <c r="E296" s="4">
        <f>SUM(B296:D296)</f>
        <v>12</v>
      </c>
    </row>
    <row r="297" spans="1:5" x14ac:dyDescent="0.25">
      <c r="A297" s="6" t="s">
        <v>53</v>
      </c>
      <c r="B297" s="6">
        <f>SUM(B294:B296)</f>
        <v>5</v>
      </c>
      <c r="C297" s="6">
        <f>SUM(C294:C296)</f>
        <v>4</v>
      </c>
      <c r="D297" s="6">
        <f>SUM(D294:D296)</f>
        <v>12</v>
      </c>
      <c r="E297" s="6">
        <f>SUM(E294:E296)</f>
        <v>21</v>
      </c>
    </row>
    <row r="308" spans="1:5" x14ac:dyDescent="0.25">
      <c r="A308" s="7" t="s">
        <v>612</v>
      </c>
    </row>
    <row r="309" spans="1:5" ht="30" x14ac:dyDescent="0.25">
      <c r="A309" s="3" t="s">
        <v>587</v>
      </c>
      <c r="B309" s="3" t="s">
        <v>588</v>
      </c>
      <c r="C309" s="3" t="s">
        <v>589</v>
      </c>
      <c r="D309" s="3" t="s">
        <v>590</v>
      </c>
      <c r="E309" s="3" t="s">
        <v>53</v>
      </c>
    </row>
    <row r="310" spans="1:5" x14ac:dyDescent="0.25">
      <c r="A310" s="4" t="s">
        <v>591</v>
      </c>
      <c r="B310" s="4">
        <v>0</v>
      </c>
      <c r="C310" s="4">
        <v>1</v>
      </c>
      <c r="D310" s="4">
        <v>5</v>
      </c>
      <c r="E310" s="4">
        <f>SUM(B310:D310)</f>
        <v>6</v>
      </c>
    </row>
    <row r="311" spans="1:5" x14ac:dyDescent="0.25">
      <c r="A311" s="4" t="s">
        <v>592</v>
      </c>
      <c r="B311" s="4">
        <v>0</v>
      </c>
      <c r="C311" s="4">
        <v>0</v>
      </c>
      <c r="D311" s="4">
        <v>4</v>
      </c>
      <c r="E311" s="4">
        <f>SUM(B311:D311)</f>
        <v>4</v>
      </c>
    </row>
    <row r="312" spans="1:5" x14ac:dyDescent="0.25">
      <c r="A312" s="4" t="s">
        <v>593</v>
      </c>
      <c r="B312" s="4">
        <v>0</v>
      </c>
      <c r="C312" s="4">
        <v>0</v>
      </c>
      <c r="D312" s="4">
        <v>3</v>
      </c>
      <c r="E312" s="4">
        <f>SUM(B312:D312)</f>
        <v>3</v>
      </c>
    </row>
    <row r="313" spans="1:5" x14ac:dyDescent="0.25">
      <c r="A313" s="6" t="s">
        <v>53</v>
      </c>
      <c r="B313" s="6">
        <f>SUM(B310:B312)</f>
        <v>0</v>
      </c>
      <c r="C313" s="6">
        <f>SUM(C310:C312)</f>
        <v>1</v>
      </c>
      <c r="D313" s="6">
        <f>SUM(D310:D312)</f>
        <v>12</v>
      </c>
      <c r="E313" s="6">
        <f>SUM(E310:E312)</f>
        <v>13</v>
      </c>
    </row>
    <row r="324" spans="1:5" x14ac:dyDescent="0.25">
      <c r="A324" s="7" t="s">
        <v>613</v>
      </c>
    </row>
    <row r="325" spans="1:5" ht="30" x14ac:dyDescent="0.25">
      <c r="A325" s="3" t="s">
        <v>587</v>
      </c>
      <c r="B325" s="3" t="s">
        <v>588</v>
      </c>
      <c r="C325" s="3" t="s">
        <v>589</v>
      </c>
      <c r="D325" s="3" t="s">
        <v>590</v>
      </c>
      <c r="E325" s="3" t="s">
        <v>53</v>
      </c>
    </row>
    <row r="326" spans="1:5" x14ac:dyDescent="0.25">
      <c r="A326" s="4" t="s">
        <v>591</v>
      </c>
      <c r="B326" s="4">
        <v>0</v>
      </c>
      <c r="C326" s="4">
        <v>0</v>
      </c>
      <c r="D326" s="4">
        <v>3</v>
      </c>
      <c r="E326" s="4">
        <f>SUM(B326:D326)</f>
        <v>3</v>
      </c>
    </row>
    <row r="327" spans="1:5" x14ac:dyDescent="0.25">
      <c r="A327" s="4" t="s">
        <v>592</v>
      </c>
      <c r="B327" s="4">
        <v>0</v>
      </c>
      <c r="C327" s="4">
        <v>0</v>
      </c>
      <c r="D327" s="4">
        <v>5</v>
      </c>
      <c r="E327" s="4">
        <f>SUM(B327:D327)</f>
        <v>5</v>
      </c>
    </row>
    <row r="328" spans="1:5" x14ac:dyDescent="0.25">
      <c r="A328" s="4" t="s">
        <v>593</v>
      </c>
      <c r="B328" s="4">
        <v>0</v>
      </c>
      <c r="C328" s="4">
        <v>0</v>
      </c>
      <c r="D328" s="4">
        <v>10</v>
      </c>
      <c r="E328" s="4">
        <f>SUM(B328:D328)</f>
        <v>10</v>
      </c>
    </row>
    <row r="329" spans="1:5" x14ac:dyDescent="0.25">
      <c r="A329" s="6" t="s">
        <v>53</v>
      </c>
      <c r="B329" s="6">
        <f>SUM(B326:B328)</f>
        <v>0</v>
      </c>
      <c r="C329" s="6">
        <f>SUM(C326:C328)</f>
        <v>0</v>
      </c>
      <c r="D329" s="6">
        <f>SUM(D326:D328)</f>
        <v>18</v>
      </c>
      <c r="E329" s="6">
        <f>SUM(E326:E328)</f>
        <v>18</v>
      </c>
    </row>
    <row r="340" spans="1:5" x14ac:dyDescent="0.25">
      <c r="A340" s="7" t="s">
        <v>614</v>
      </c>
    </row>
    <row r="341" spans="1:5" ht="30" x14ac:dyDescent="0.25">
      <c r="A341" s="3" t="s">
        <v>587</v>
      </c>
      <c r="B341" s="3" t="s">
        <v>588</v>
      </c>
      <c r="C341" s="3" t="s">
        <v>589</v>
      </c>
      <c r="D341" s="3" t="s">
        <v>590</v>
      </c>
      <c r="E341" s="3" t="s">
        <v>53</v>
      </c>
    </row>
    <row r="342" spans="1:5" x14ac:dyDescent="0.25">
      <c r="A342" s="4" t="s">
        <v>591</v>
      </c>
      <c r="B342" s="4">
        <v>4</v>
      </c>
      <c r="C342" s="4">
        <v>0</v>
      </c>
      <c r="D342" s="4">
        <v>3</v>
      </c>
      <c r="E342" s="4">
        <f>SUM(B342:D342)</f>
        <v>7</v>
      </c>
    </row>
    <row r="343" spans="1:5" x14ac:dyDescent="0.25">
      <c r="A343" s="4" t="s">
        <v>592</v>
      </c>
      <c r="B343" s="4">
        <v>4</v>
      </c>
      <c r="C343" s="4">
        <v>1</v>
      </c>
      <c r="D343" s="4">
        <v>3</v>
      </c>
      <c r="E343" s="4">
        <f>SUM(B343:D343)</f>
        <v>8</v>
      </c>
    </row>
    <row r="344" spans="1:5" x14ac:dyDescent="0.25">
      <c r="A344" s="4" t="s">
        <v>593</v>
      </c>
      <c r="B344" s="4">
        <v>1</v>
      </c>
      <c r="C344" s="4">
        <v>0</v>
      </c>
      <c r="D344" s="4">
        <v>2</v>
      </c>
      <c r="E344" s="4">
        <f>SUM(B344:D344)</f>
        <v>3</v>
      </c>
    </row>
    <row r="345" spans="1:5" x14ac:dyDescent="0.25">
      <c r="A345" s="6" t="s">
        <v>53</v>
      </c>
      <c r="B345" s="6">
        <f>SUM(B342:B344)</f>
        <v>9</v>
      </c>
      <c r="C345" s="6">
        <f>SUM(C342:C344)</f>
        <v>1</v>
      </c>
      <c r="D345" s="6">
        <f>SUM(D342:D344)</f>
        <v>8</v>
      </c>
      <c r="E345" s="6">
        <f>SUM(E342:E344)</f>
        <v>18</v>
      </c>
    </row>
    <row r="356" spans="1:5" x14ac:dyDescent="0.25">
      <c r="A356" s="7" t="s">
        <v>615</v>
      </c>
    </row>
    <row r="357" spans="1:5" ht="30" x14ac:dyDescent="0.25">
      <c r="A357" s="3" t="s">
        <v>587</v>
      </c>
      <c r="B357" s="3" t="s">
        <v>588</v>
      </c>
      <c r="C357" s="3" t="s">
        <v>589</v>
      </c>
      <c r="D357" s="3" t="s">
        <v>590</v>
      </c>
      <c r="E357" s="3" t="s">
        <v>53</v>
      </c>
    </row>
    <row r="358" spans="1:5" x14ac:dyDescent="0.25">
      <c r="A358" s="4" t="s">
        <v>591</v>
      </c>
      <c r="B358" s="4">
        <v>11</v>
      </c>
      <c r="C358" s="4">
        <v>2</v>
      </c>
      <c r="D358" s="4">
        <v>0</v>
      </c>
      <c r="E358" s="4">
        <f>SUM(B358:D358)</f>
        <v>13</v>
      </c>
    </row>
    <row r="359" spans="1:5" x14ac:dyDescent="0.25">
      <c r="A359" s="4" t="s">
        <v>592</v>
      </c>
      <c r="B359" s="4">
        <v>14</v>
      </c>
      <c r="C359" s="4">
        <v>2</v>
      </c>
      <c r="D359" s="4">
        <v>1</v>
      </c>
      <c r="E359" s="4">
        <f>SUM(B359:D359)</f>
        <v>17</v>
      </c>
    </row>
    <row r="360" spans="1:5" x14ac:dyDescent="0.25">
      <c r="A360" s="4" t="s">
        <v>593</v>
      </c>
      <c r="B360" s="4">
        <v>3</v>
      </c>
      <c r="C360" s="4">
        <v>4</v>
      </c>
      <c r="D360" s="4">
        <v>0</v>
      </c>
      <c r="E360" s="4">
        <f>SUM(B360:D360)</f>
        <v>7</v>
      </c>
    </row>
    <row r="361" spans="1:5" x14ac:dyDescent="0.25">
      <c r="A361" s="6" t="s">
        <v>53</v>
      </c>
      <c r="B361" s="6">
        <f>SUM(B358:B360)</f>
        <v>28</v>
      </c>
      <c r="C361" s="6">
        <f>SUM(C358:C360)</f>
        <v>8</v>
      </c>
      <c r="D361" s="6">
        <f>SUM(D358:D360)</f>
        <v>1</v>
      </c>
      <c r="E361" s="6">
        <f>SUM(E358:E360)</f>
        <v>37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/>
  </sheetViews>
  <sheetFormatPr defaultRowHeight="15" x14ac:dyDescent="0.25"/>
  <cols>
    <col min="1" max="1" width="9" customWidth="1"/>
    <col min="2" max="2" width="36" customWidth="1"/>
    <col min="3" max="3" width="11" customWidth="1"/>
    <col min="4" max="4" width="12" customWidth="1"/>
    <col min="5" max="5" width="13" customWidth="1"/>
    <col min="6" max="6" width="12" customWidth="1"/>
    <col min="7" max="7" width="11" customWidth="1"/>
    <col min="8" max="8" width="9" customWidth="1"/>
    <col min="9" max="9" width="14" customWidth="1"/>
  </cols>
  <sheetData>
    <row r="1" spans="1:9" ht="18.75" x14ac:dyDescent="0.3">
      <c r="A1" s="1" t="s">
        <v>616</v>
      </c>
    </row>
    <row r="2" spans="1:9" x14ac:dyDescent="0.25">
      <c r="A2" s="2" t="s">
        <v>617</v>
      </c>
    </row>
    <row r="4" spans="1:9" ht="30" x14ac:dyDescent="0.25">
      <c r="A4" s="3" t="s">
        <v>525</v>
      </c>
      <c r="B4" s="3" t="s">
        <v>526</v>
      </c>
      <c r="C4" s="3" t="s">
        <v>588</v>
      </c>
      <c r="D4" s="3" t="s">
        <v>589</v>
      </c>
      <c r="E4" s="3" t="s">
        <v>590</v>
      </c>
      <c r="F4" s="3" t="s">
        <v>618</v>
      </c>
      <c r="G4" s="3" t="s">
        <v>619</v>
      </c>
      <c r="H4" s="3" t="s">
        <v>53</v>
      </c>
      <c r="I4" s="3" t="s">
        <v>620</v>
      </c>
    </row>
    <row r="5" spans="1:9" x14ac:dyDescent="0.25">
      <c r="A5" s="4" t="s">
        <v>529</v>
      </c>
      <c r="B5" s="4" t="s">
        <v>530</v>
      </c>
      <c r="C5" s="4">
        <v>3</v>
      </c>
      <c r="D5" s="4">
        <v>33</v>
      </c>
      <c r="E5" s="4">
        <v>31</v>
      </c>
      <c r="F5" s="4">
        <v>14</v>
      </c>
      <c r="G5" s="4">
        <v>0</v>
      </c>
      <c r="H5" s="4">
        <f t="shared" ref="H5:H27" si="0">SUM(C5:G5)</f>
        <v>81</v>
      </c>
      <c r="I5" s="4">
        <v>28</v>
      </c>
    </row>
    <row r="6" spans="1:9" x14ac:dyDescent="0.25">
      <c r="A6" s="4" t="s">
        <v>531</v>
      </c>
      <c r="B6" s="4" t="s">
        <v>532</v>
      </c>
      <c r="C6" s="4">
        <v>24</v>
      </c>
      <c r="D6" s="4">
        <v>19</v>
      </c>
      <c r="E6" s="4">
        <v>26</v>
      </c>
      <c r="F6" s="4">
        <v>9</v>
      </c>
      <c r="G6" s="4">
        <v>0</v>
      </c>
      <c r="H6" s="4">
        <f t="shared" si="0"/>
        <v>78</v>
      </c>
      <c r="I6" s="4">
        <v>22</v>
      </c>
    </row>
    <row r="7" spans="1:9" x14ac:dyDescent="0.25">
      <c r="A7" s="4" t="s">
        <v>533</v>
      </c>
      <c r="B7" s="4" t="s">
        <v>534</v>
      </c>
      <c r="C7" s="4">
        <v>24</v>
      </c>
      <c r="D7" s="4">
        <v>18</v>
      </c>
      <c r="E7" s="4">
        <v>12</v>
      </c>
      <c r="F7" s="4">
        <v>24</v>
      </c>
      <c r="G7" s="4">
        <v>0</v>
      </c>
      <c r="H7" s="4">
        <f t="shared" si="0"/>
        <v>78</v>
      </c>
      <c r="I7" s="4">
        <v>15</v>
      </c>
    </row>
    <row r="8" spans="1:9" x14ac:dyDescent="0.25">
      <c r="A8" s="4" t="s">
        <v>535</v>
      </c>
      <c r="B8" s="4" t="s">
        <v>536</v>
      </c>
      <c r="C8" s="4">
        <v>21</v>
      </c>
      <c r="D8" s="4">
        <v>28</v>
      </c>
      <c r="E8" s="4">
        <v>8</v>
      </c>
      <c r="F8" s="4">
        <v>21</v>
      </c>
      <c r="G8" s="4">
        <v>0</v>
      </c>
      <c r="H8" s="4">
        <f t="shared" si="0"/>
        <v>78</v>
      </c>
      <c r="I8" s="4">
        <v>16</v>
      </c>
    </row>
    <row r="9" spans="1:9" x14ac:dyDescent="0.25">
      <c r="A9" s="4" t="s">
        <v>537</v>
      </c>
      <c r="B9" s="4" t="s">
        <v>538</v>
      </c>
      <c r="C9" s="4">
        <v>11</v>
      </c>
      <c r="D9" s="4">
        <v>38</v>
      </c>
      <c r="E9" s="4">
        <v>5</v>
      </c>
      <c r="F9" s="4">
        <v>18</v>
      </c>
      <c r="G9" s="4">
        <v>0</v>
      </c>
      <c r="H9" s="4">
        <f t="shared" si="0"/>
        <v>72</v>
      </c>
      <c r="I9" s="4">
        <v>13</v>
      </c>
    </row>
    <row r="10" spans="1:9" x14ac:dyDescent="0.25">
      <c r="A10" s="4" t="s">
        <v>539</v>
      </c>
      <c r="B10" s="4" t="s">
        <v>540</v>
      </c>
      <c r="C10" s="4">
        <v>2</v>
      </c>
      <c r="D10" s="4">
        <v>13</v>
      </c>
      <c r="E10" s="4">
        <v>34</v>
      </c>
      <c r="F10" s="4">
        <v>9</v>
      </c>
      <c r="G10" s="4">
        <v>0</v>
      </c>
      <c r="H10" s="4">
        <f t="shared" si="0"/>
        <v>58</v>
      </c>
      <c r="I10" s="4">
        <v>20</v>
      </c>
    </row>
    <row r="11" spans="1:9" x14ac:dyDescent="0.25">
      <c r="A11" s="4" t="s">
        <v>541</v>
      </c>
      <c r="B11" s="4" t="s">
        <v>542</v>
      </c>
      <c r="C11" s="4">
        <v>14</v>
      </c>
      <c r="D11" s="4">
        <v>11</v>
      </c>
      <c r="E11" s="4">
        <v>6</v>
      </c>
      <c r="F11" s="4">
        <v>0</v>
      </c>
      <c r="G11" s="4">
        <v>0</v>
      </c>
      <c r="H11" s="4">
        <f t="shared" si="0"/>
        <v>31</v>
      </c>
      <c r="I11" s="4">
        <v>1</v>
      </c>
    </row>
    <row r="12" spans="1:9" x14ac:dyDescent="0.25">
      <c r="A12" s="4" t="s">
        <v>543</v>
      </c>
      <c r="B12" s="4" t="s">
        <v>544</v>
      </c>
      <c r="C12" s="4">
        <v>10</v>
      </c>
      <c r="D12" s="4">
        <v>1</v>
      </c>
      <c r="E12" s="4">
        <v>0</v>
      </c>
      <c r="F12" s="4">
        <v>0</v>
      </c>
      <c r="G12" s="4">
        <v>0</v>
      </c>
      <c r="H12" s="4">
        <f t="shared" si="0"/>
        <v>11</v>
      </c>
      <c r="I12" s="4">
        <v>0</v>
      </c>
    </row>
    <row r="13" spans="1:9" x14ac:dyDescent="0.25">
      <c r="A13" s="4" t="s">
        <v>545</v>
      </c>
      <c r="B13" s="4" t="s">
        <v>546</v>
      </c>
      <c r="C13" s="4">
        <v>17</v>
      </c>
      <c r="D13" s="4">
        <v>14</v>
      </c>
      <c r="E13" s="4">
        <v>6</v>
      </c>
      <c r="F13" s="4">
        <v>8</v>
      </c>
      <c r="G13" s="4">
        <v>0</v>
      </c>
      <c r="H13" s="4">
        <f t="shared" si="0"/>
        <v>45</v>
      </c>
      <c r="I13" s="4">
        <v>4</v>
      </c>
    </row>
    <row r="14" spans="1:9" x14ac:dyDescent="0.25">
      <c r="A14" s="4" t="s">
        <v>547</v>
      </c>
      <c r="B14" s="4" t="s">
        <v>548</v>
      </c>
      <c r="C14" s="4">
        <v>53</v>
      </c>
      <c r="D14" s="4">
        <v>13</v>
      </c>
      <c r="E14" s="4">
        <v>6</v>
      </c>
      <c r="F14" s="4">
        <v>9</v>
      </c>
      <c r="G14" s="4">
        <v>0</v>
      </c>
      <c r="H14" s="4">
        <f t="shared" si="0"/>
        <v>81</v>
      </c>
      <c r="I14" s="4">
        <v>12</v>
      </c>
    </row>
    <row r="15" spans="1:9" x14ac:dyDescent="0.25">
      <c r="A15" s="4" t="s">
        <v>549</v>
      </c>
      <c r="B15" s="4" t="s">
        <v>550</v>
      </c>
      <c r="C15" s="4">
        <v>35</v>
      </c>
      <c r="D15" s="4">
        <v>6</v>
      </c>
      <c r="E15" s="4">
        <v>4</v>
      </c>
      <c r="F15" s="4">
        <v>2</v>
      </c>
      <c r="G15" s="4">
        <v>0</v>
      </c>
      <c r="H15" s="4">
        <f t="shared" si="0"/>
        <v>47</v>
      </c>
      <c r="I15" s="4">
        <v>5</v>
      </c>
    </row>
    <row r="16" spans="1:9" x14ac:dyDescent="0.25">
      <c r="A16" s="4" t="s">
        <v>551</v>
      </c>
      <c r="B16" s="4" t="s">
        <v>552</v>
      </c>
      <c r="C16" s="4">
        <v>27</v>
      </c>
      <c r="D16" s="4">
        <v>3</v>
      </c>
      <c r="E16" s="4">
        <v>6</v>
      </c>
      <c r="F16" s="4">
        <v>2</v>
      </c>
      <c r="G16" s="4">
        <v>0</v>
      </c>
      <c r="H16" s="4">
        <f t="shared" si="0"/>
        <v>38</v>
      </c>
      <c r="I16" s="4">
        <v>3</v>
      </c>
    </row>
    <row r="17" spans="1:9" x14ac:dyDescent="0.25">
      <c r="A17" s="4" t="s">
        <v>553</v>
      </c>
      <c r="B17" s="4" t="s">
        <v>554</v>
      </c>
      <c r="C17" s="4">
        <v>4</v>
      </c>
      <c r="D17" s="4">
        <v>12</v>
      </c>
      <c r="E17" s="4">
        <v>14</v>
      </c>
      <c r="F17" s="4">
        <v>0</v>
      </c>
      <c r="G17" s="4">
        <v>0</v>
      </c>
      <c r="H17" s="4">
        <f t="shared" si="0"/>
        <v>30</v>
      </c>
      <c r="I17" s="4">
        <v>13</v>
      </c>
    </row>
    <row r="18" spans="1:9" x14ac:dyDescent="0.25">
      <c r="A18" s="4" t="s">
        <v>555</v>
      </c>
      <c r="B18" s="4" t="s">
        <v>556</v>
      </c>
      <c r="C18" s="4">
        <v>23</v>
      </c>
      <c r="D18" s="4">
        <v>3</v>
      </c>
      <c r="E18" s="4">
        <v>4</v>
      </c>
      <c r="F18" s="4">
        <v>0</v>
      </c>
      <c r="G18" s="4">
        <v>0</v>
      </c>
      <c r="H18" s="4">
        <f t="shared" si="0"/>
        <v>30</v>
      </c>
      <c r="I18" s="4">
        <v>3</v>
      </c>
    </row>
    <row r="19" spans="1:9" x14ac:dyDescent="0.25">
      <c r="A19" s="4" t="s">
        <v>557</v>
      </c>
      <c r="B19" s="4" t="s">
        <v>558</v>
      </c>
      <c r="C19" s="4">
        <v>0</v>
      </c>
      <c r="D19" s="4">
        <v>0</v>
      </c>
      <c r="E19" s="4">
        <v>30</v>
      </c>
      <c r="F19" s="4">
        <v>0</v>
      </c>
      <c r="G19" s="4">
        <v>0</v>
      </c>
      <c r="H19" s="4">
        <f t="shared" si="0"/>
        <v>30</v>
      </c>
      <c r="I19" s="4">
        <v>29</v>
      </c>
    </row>
    <row r="20" spans="1:9" x14ac:dyDescent="0.25">
      <c r="A20" s="4" t="s">
        <v>559</v>
      </c>
      <c r="B20" s="4" t="s">
        <v>560</v>
      </c>
      <c r="C20" s="4">
        <v>13</v>
      </c>
      <c r="D20" s="4">
        <v>2</v>
      </c>
      <c r="E20" s="4">
        <v>7</v>
      </c>
      <c r="F20" s="4">
        <v>3</v>
      </c>
      <c r="G20" s="4">
        <v>0</v>
      </c>
      <c r="H20" s="4">
        <f t="shared" si="0"/>
        <v>25</v>
      </c>
      <c r="I20" s="4">
        <v>3</v>
      </c>
    </row>
    <row r="21" spans="1:9" x14ac:dyDescent="0.25">
      <c r="A21" s="4" t="s">
        <v>561</v>
      </c>
      <c r="B21" s="4" t="s">
        <v>562</v>
      </c>
      <c r="C21" s="4">
        <v>8</v>
      </c>
      <c r="D21" s="4">
        <v>0</v>
      </c>
      <c r="E21" s="4">
        <v>15</v>
      </c>
      <c r="F21" s="4">
        <v>2</v>
      </c>
      <c r="G21" s="4">
        <v>0</v>
      </c>
      <c r="H21" s="4">
        <f t="shared" si="0"/>
        <v>25</v>
      </c>
      <c r="I21" s="4">
        <v>15</v>
      </c>
    </row>
    <row r="22" spans="1:9" x14ac:dyDescent="0.25">
      <c r="A22" s="4" t="s">
        <v>563</v>
      </c>
      <c r="B22" s="4" t="s">
        <v>564</v>
      </c>
      <c r="C22" s="4">
        <v>9</v>
      </c>
      <c r="D22" s="4">
        <v>6</v>
      </c>
      <c r="E22" s="4">
        <v>24</v>
      </c>
      <c r="F22" s="4">
        <v>10</v>
      </c>
      <c r="G22" s="4">
        <v>0</v>
      </c>
      <c r="H22" s="4">
        <f t="shared" si="0"/>
        <v>49</v>
      </c>
      <c r="I22" s="4">
        <v>12</v>
      </c>
    </row>
    <row r="23" spans="1:9" x14ac:dyDescent="0.25">
      <c r="A23" s="4" t="s">
        <v>565</v>
      </c>
      <c r="B23" s="4" t="s">
        <v>566</v>
      </c>
      <c r="C23" s="4">
        <v>5</v>
      </c>
      <c r="D23" s="4">
        <v>4</v>
      </c>
      <c r="E23" s="4">
        <v>12</v>
      </c>
      <c r="F23" s="4">
        <v>0</v>
      </c>
      <c r="G23" s="4">
        <v>0</v>
      </c>
      <c r="H23" s="4">
        <f t="shared" si="0"/>
        <v>21</v>
      </c>
      <c r="I23" s="4">
        <v>2</v>
      </c>
    </row>
    <row r="24" spans="1:9" x14ac:dyDescent="0.25">
      <c r="A24" s="4" t="s">
        <v>567</v>
      </c>
      <c r="B24" s="4" t="s">
        <v>568</v>
      </c>
      <c r="C24" s="4">
        <v>0</v>
      </c>
      <c r="D24" s="4">
        <v>2</v>
      </c>
      <c r="E24" s="4">
        <v>29</v>
      </c>
      <c r="F24" s="4">
        <v>0</v>
      </c>
      <c r="G24" s="4">
        <v>0</v>
      </c>
      <c r="H24" s="4">
        <f t="shared" si="0"/>
        <v>31</v>
      </c>
      <c r="I24" s="4">
        <v>20</v>
      </c>
    </row>
    <row r="25" spans="1:9" x14ac:dyDescent="0.25">
      <c r="A25" s="4" t="s">
        <v>569</v>
      </c>
      <c r="B25" s="4" t="s">
        <v>570</v>
      </c>
      <c r="C25" s="4">
        <v>0</v>
      </c>
      <c r="D25" s="4">
        <v>0</v>
      </c>
      <c r="E25" s="4">
        <v>30</v>
      </c>
      <c r="F25" s="4">
        <v>0</v>
      </c>
      <c r="G25" s="4">
        <v>0</v>
      </c>
      <c r="H25" s="4">
        <f t="shared" si="0"/>
        <v>30</v>
      </c>
      <c r="I25" s="4">
        <v>12</v>
      </c>
    </row>
    <row r="26" spans="1:9" x14ac:dyDescent="0.25">
      <c r="A26" s="4" t="s">
        <v>571</v>
      </c>
      <c r="B26" s="4" t="s">
        <v>572</v>
      </c>
      <c r="C26" s="4">
        <v>9</v>
      </c>
      <c r="D26" s="4">
        <v>8</v>
      </c>
      <c r="E26" s="4">
        <v>10</v>
      </c>
      <c r="F26" s="4">
        <v>1</v>
      </c>
      <c r="G26" s="4">
        <v>0</v>
      </c>
      <c r="H26" s="4">
        <f t="shared" si="0"/>
        <v>28</v>
      </c>
      <c r="I26" s="4">
        <v>8</v>
      </c>
    </row>
    <row r="27" spans="1:9" x14ac:dyDescent="0.25">
      <c r="A27" s="4" t="s">
        <v>573</v>
      </c>
      <c r="B27" s="4" t="s">
        <v>574</v>
      </c>
      <c r="C27" s="4">
        <v>29</v>
      </c>
      <c r="D27" s="4">
        <v>8</v>
      </c>
      <c r="E27" s="4">
        <v>1</v>
      </c>
      <c r="F27" s="4">
        <v>6</v>
      </c>
      <c r="G27" s="4">
        <v>0</v>
      </c>
      <c r="H27" s="4">
        <f t="shared" si="0"/>
        <v>44</v>
      </c>
      <c r="I27" s="4">
        <v>2</v>
      </c>
    </row>
    <row r="28" spans="1:9" x14ac:dyDescent="0.25">
      <c r="B28" s="6" t="s">
        <v>53</v>
      </c>
      <c r="C28" s="6">
        <f t="shared" ref="C28:I28" si="1">SUM(C5:C27)</f>
        <v>341</v>
      </c>
      <c r="D28" s="6">
        <f t="shared" si="1"/>
        <v>242</v>
      </c>
      <c r="E28" s="6">
        <f t="shared" si="1"/>
        <v>320</v>
      </c>
      <c r="F28" s="6">
        <f t="shared" si="1"/>
        <v>138</v>
      </c>
      <c r="G28" s="6">
        <f t="shared" si="1"/>
        <v>0</v>
      </c>
      <c r="H28" s="6">
        <f t="shared" si="1"/>
        <v>1041</v>
      </c>
      <c r="I28" s="6">
        <f t="shared" si="1"/>
        <v>258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6"/>
  <sheetViews>
    <sheetView workbookViewId="0"/>
  </sheetViews>
  <sheetFormatPr defaultRowHeight="15" x14ac:dyDescent="0.25"/>
  <cols>
    <col min="1" max="1" width="9" customWidth="1"/>
    <col min="2" max="2" width="36" customWidth="1"/>
    <col min="3" max="3" width="12" customWidth="1"/>
    <col min="4" max="4" width="11" customWidth="1"/>
    <col min="5" max="5" width="12" customWidth="1"/>
    <col min="6" max="6" width="13" customWidth="1"/>
    <col min="7" max="7" width="12" customWidth="1"/>
    <col min="8" max="8" width="11" customWidth="1"/>
  </cols>
  <sheetData>
    <row r="1" spans="1:9" ht="18.75" x14ac:dyDescent="0.3">
      <c r="A1" s="1" t="s">
        <v>621</v>
      </c>
    </row>
    <row r="4" spans="1:9" ht="30" x14ac:dyDescent="0.25">
      <c r="A4" s="3" t="s">
        <v>525</v>
      </c>
      <c r="B4" s="3" t="s">
        <v>526</v>
      </c>
      <c r="C4" s="3" t="s">
        <v>587</v>
      </c>
      <c r="D4" s="3" t="s">
        <v>588</v>
      </c>
      <c r="E4" s="3" t="s">
        <v>589</v>
      </c>
      <c r="F4" s="3" t="s">
        <v>590</v>
      </c>
      <c r="G4" s="3" t="s">
        <v>618</v>
      </c>
      <c r="H4" s="3" t="s">
        <v>619</v>
      </c>
      <c r="I4" s="8" t="s">
        <v>53</v>
      </c>
    </row>
    <row r="5" spans="1:9" x14ac:dyDescent="0.25">
      <c r="A5" s="4" t="s">
        <v>529</v>
      </c>
      <c r="B5" s="4" t="s">
        <v>530</v>
      </c>
      <c r="C5" s="4" t="s">
        <v>591</v>
      </c>
      <c r="D5" s="4">
        <v>2</v>
      </c>
      <c r="E5" s="4">
        <v>14</v>
      </c>
      <c r="F5" s="4">
        <v>14</v>
      </c>
      <c r="G5" s="4">
        <v>12</v>
      </c>
      <c r="H5" s="4">
        <v>0</v>
      </c>
      <c r="I5">
        <f t="shared" ref="I5:I36" si="0">SUM(D5:H5)</f>
        <v>42</v>
      </c>
    </row>
    <row r="6" spans="1:9" x14ac:dyDescent="0.25">
      <c r="A6" s="4" t="s">
        <v>529</v>
      </c>
      <c r="B6" s="4" t="s">
        <v>530</v>
      </c>
      <c r="C6" s="4" t="s">
        <v>592</v>
      </c>
      <c r="D6" s="4">
        <v>1</v>
      </c>
      <c r="E6" s="4">
        <v>18</v>
      </c>
      <c r="F6" s="4">
        <v>16</v>
      </c>
      <c r="G6" s="4">
        <v>2</v>
      </c>
      <c r="H6" s="4">
        <v>0</v>
      </c>
      <c r="I6">
        <f t="shared" si="0"/>
        <v>37</v>
      </c>
    </row>
    <row r="7" spans="1:9" x14ac:dyDescent="0.25">
      <c r="A7" s="4" t="s">
        <v>529</v>
      </c>
      <c r="B7" s="4" t="s">
        <v>530</v>
      </c>
      <c r="C7" s="4" t="s">
        <v>593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>
        <f t="shared" si="0"/>
        <v>2</v>
      </c>
    </row>
    <row r="8" spans="1:9" x14ac:dyDescent="0.25">
      <c r="A8" s="4" t="s">
        <v>531</v>
      </c>
      <c r="B8" s="4" t="s">
        <v>532</v>
      </c>
      <c r="C8" s="4" t="s">
        <v>591</v>
      </c>
      <c r="D8" s="4">
        <v>16</v>
      </c>
      <c r="E8" s="4">
        <v>7</v>
      </c>
      <c r="F8" s="4">
        <v>15</v>
      </c>
      <c r="G8" s="4">
        <v>8</v>
      </c>
      <c r="H8" s="4">
        <v>0</v>
      </c>
      <c r="I8">
        <f t="shared" si="0"/>
        <v>46</v>
      </c>
    </row>
    <row r="9" spans="1:9" x14ac:dyDescent="0.25">
      <c r="A9" s="4" t="s">
        <v>531</v>
      </c>
      <c r="B9" s="4" t="s">
        <v>532</v>
      </c>
      <c r="C9" s="4" t="s">
        <v>592</v>
      </c>
      <c r="D9" s="4">
        <v>8</v>
      </c>
      <c r="E9" s="4">
        <v>11</v>
      </c>
      <c r="F9" s="4">
        <v>7</v>
      </c>
      <c r="G9" s="4">
        <v>1</v>
      </c>
      <c r="H9" s="4">
        <v>0</v>
      </c>
      <c r="I9">
        <f t="shared" si="0"/>
        <v>27</v>
      </c>
    </row>
    <row r="10" spans="1:9" x14ac:dyDescent="0.25">
      <c r="A10" s="4" t="s">
        <v>531</v>
      </c>
      <c r="B10" s="4" t="s">
        <v>532</v>
      </c>
      <c r="C10" s="4" t="s">
        <v>593</v>
      </c>
      <c r="D10" s="4">
        <v>0</v>
      </c>
      <c r="E10" s="4">
        <v>1</v>
      </c>
      <c r="F10" s="4">
        <v>4</v>
      </c>
      <c r="G10" s="4">
        <v>0</v>
      </c>
      <c r="H10" s="4">
        <v>0</v>
      </c>
      <c r="I10">
        <f t="shared" si="0"/>
        <v>5</v>
      </c>
    </row>
    <row r="11" spans="1:9" x14ac:dyDescent="0.25">
      <c r="A11" s="4" t="s">
        <v>533</v>
      </c>
      <c r="B11" s="4" t="s">
        <v>534</v>
      </c>
      <c r="C11" s="4" t="s">
        <v>591</v>
      </c>
      <c r="D11" s="4">
        <v>20</v>
      </c>
      <c r="E11" s="4">
        <v>7</v>
      </c>
      <c r="F11" s="4">
        <v>8</v>
      </c>
      <c r="G11" s="4">
        <v>22</v>
      </c>
      <c r="H11" s="4">
        <v>0</v>
      </c>
      <c r="I11">
        <f t="shared" si="0"/>
        <v>57</v>
      </c>
    </row>
    <row r="12" spans="1:9" x14ac:dyDescent="0.25">
      <c r="A12" s="4" t="s">
        <v>533</v>
      </c>
      <c r="B12" s="4" t="s">
        <v>534</v>
      </c>
      <c r="C12" s="4" t="s">
        <v>592</v>
      </c>
      <c r="D12" s="4">
        <v>4</v>
      </c>
      <c r="E12" s="4">
        <v>11</v>
      </c>
      <c r="F12" s="4">
        <v>4</v>
      </c>
      <c r="G12" s="4">
        <v>2</v>
      </c>
      <c r="H12" s="4">
        <v>0</v>
      </c>
      <c r="I12">
        <f t="shared" si="0"/>
        <v>21</v>
      </c>
    </row>
    <row r="13" spans="1:9" x14ac:dyDescent="0.25">
      <c r="A13" s="4" t="s">
        <v>535</v>
      </c>
      <c r="B13" s="4" t="s">
        <v>536</v>
      </c>
      <c r="C13" s="4" t="s">
        <v>591</v>
      </c>
      <c r="D13" s="4">
        <v>16</v>
      </c>
      <c r="E13" s="4">
        <v>10</v>
      </c>
      <c r="F13" s="4">
        <v>6</v>
      </c>
      <c r="G13" s="4">
        <v>15</v>
      </c>
      <c r="H13" s="4">
        <v>0</v>
      </c>
      <c r="I13">
        <f t="shared" si="0"/>
        <v>47</v>
      </c>
    </row>
    <row r="14" spans="1:9" x14ac:dyDescent="0.25">
      <c r="A14" s="4" t="s">
        <v>535</v>
      </c>
      <c r="B14" s="4" t="s">
        <v>536</v>
      </c>
      <c r="C14" s="4" t="s">
        <v>592</v>
      </c>
      <c r="D14" s="4">
        <v>4</v>
      </c>
      <c r="E14" s="4">
        <v>16</v>
      </c>
      <c r="F14" s="4">
        <v>2</v>
      </c>
      <c r="G14" s="4">
        <v>6</v>
      </c>
      <c r="H14" s="4">
        <v>0</v>
      </c>
      <c r="I14">
        <f t="shared" si="0"/>
        <v>28</v>
      </c>
    </row>
    <row r="15" spans="1:9" x14ac:dyDescent="0.25">
      <c r="A15" s="4" t="s">
        <v>535</v>
      </c>
      <c r="B15" s="4" t="s">
        <v>536</v>
      </c>
      <c r="C15" s="4" t="s">
        <v>593</v>
      </c>
      <c r="D15" s="4">
        <v>1</v>
      </c>
      <c r="E15" s="4">
        <v>2</v>
      </c>
      <c r="F15" s="4">
        <v>0</v>
      </c>
      <c r="G15" s="4">
        <v>0</v>
      </c>
      <c r="H15" s="4">
        <v>0</v>
      </c>
      <c r="I15">
        <f t="shared" si="0"/>
        <v>3</v>
      </c>
    </row>
    <row r="16" spans="1:9" x14ac:dyDescent="0.25">
      <c r="A16" s="4" t="s">
        <v>537</v>
      </c>
      <c r="B16" s="4" t="s">
        <v>538</v>
      </c>
      <c r="C16" s="4" t="s">
        <v>591</v>
      </c>
      <c r="D16" s="4">
        <v>9</v>
      </c>
      <c r="E16" s="4">
        <v>9</v>
      </c>
      <c r="F16" s="4">
        <v>4</v>
      </c>
      <c r="G16" s="4">
        <v>15</v>
      </c>
      <c r="H16" s="4">
        <v>0</v>
      </c>
      <c r="I16">
        <f t="shared" si="0"/>
        <v>37</v>
      </c>
    </row>
    <row r="17" spans="1:9" x14ac:dyDescent="0.25">
      <c r="A17" s="4" t="s">
        <v>537</v>
      </c>
      <c r="B17" s="4" t="s">
        <v>538</v>
      </c>
      <c r="C17" s="4" t="s">
        <v>592</v>
      </c>
      <c r="D17" s="4">
        <v>2</v>
      </c>
      <c r="E17" s="4">
        <v>18</v>
      </c>
      <c r="F17" s="4">
        <v>1</v>
      </c>
      <c r="G17" s="4">
        <v>3</v>
      </c>
      <c r="H17" s="4">
        <v>0</v>
      </c>
      <c r="I17">
        <f t="shared" si="0"/>
        <v>24</v>
      </c>
    </row>
    <row r="18" spans="1:9" x14ac:dyDescent="0.25">
      <c r="A18" s="4" t="s">
        <v>537</v>
      </c>
      <c r="B18" s="4" t="s">
        <v>538</v>
      </c>
      <c r="C18" s="4" t="s">
        <v>593</v>
      </c>
      <c r="D18" s="4">
        <v>0</v>
      </c>
      <c r="E18" s="4">
        <v>11</v>
      </c>
      <c r="F18" s="4">
        <v>0</v>
      </c>
      <c r="G18" s="4">
        <v>0</v>
      </c>
      <c r="H18" s="4">
        <v>0</v>
      </c>
      <c r="I18">
        <f t="shared" si="0"/>
        <v>11</v>
      </c>
    </row>
    <row r="19" spans="1:9" x14ac:dyDescent="0.25">
      <c r="A19" s="4" t="s">
        <v>539</v>
      </c>
      <c r="B19" s="4" t="s">
        <v>540</v>
      </c>
      <c r="C19" s="4" t="s">
        <v>591</v>
      </c>
      <c r="D19" s="4">
        <v>1</v>
      </c>
      <c r="E19" s="4">
        <v>4</v>
      </c>
      <c r="F19" s="4">
        <v>16</v>
      </c>
      <c r="G19" s="4">
        <v>8</v>
      </c>
      <c r="H19" s="4">
        <v>0</v>
      </c>
      <c r="I19">
        <f t="shared" si="0"/>
        <v>29</v>
      </c>
    </row>
    <row r="20" spans="1:9" x14ac:dyDescent="0.25">
      <c r="A20" s="4" t="s">
        <v>539</v>
      </c>
      <c r="B20" s="4" t="s">
        <v>540</v>
      </c>
      <c r="C20" s="4" t="s">
        <v>592</v>
      </c>
      <c r="D20" s="4">
        <v>1</v>
      </c>
      <c r="E20" s="4">
        <v>8</v>
      </c>
      <c r="F20" s="4">
        <v>15</v>
      </c>
      <c r="G20" s="4">
        <v>1</v>
      </c>
      <c r="H20" s="4">
        <v>0</v>
      </c>
      <c r="I20">
        <f t="shared" si="0"/>
        <v>25</v>
      </c>
    </row>
    <row r="21" spans="1:9" x14ac:dyDescent="0.25">
      <c r="A21" s="4" t="s">
        <v>539</v>
      </c>
      <c r="B21" s="4" t="s">
        <v>540</v>
      </c>
      <c r="C21" s="4" t="s">
        <v>593</v>
      </c>
      <c r="D21" s="4">
        <v>0</v>
      </c>
      <c r="E21" s="4">
        <v>1</v>
      </c>
      <c r="F21" s="4">
        <v>3</v>
      </c>
      <c r="G21" s="4">
        <v>0</v>
      </c>
      <c r="H21" s="4">
        <v>0</v>
      </c>
      <c r="I21">
        <f t="shared" si="0"/>
        <v>4</v>
      </c>
    </row>
    <row r="22" spans="1:9" x14ac:dyDescent="0.25">
      <c r="A22" s="4" t="s">
        <v>541</v>
      </c>
      <c r="B22" s="4" t="s">
        <v>542</v>
      </c>
      <c r="C22" s="4" t="s">
        <v>591</v>
      </c>
      <c r="D22" s="4">
        <v>11</v>
      </c>
      <c r="E22" s="4">
        <v>1</v>
      </c>
      <c r="F22" s="4">
        <v>0</v>
      </c>
      <c r="G22" s="4">
        <v>0</v>
      </c>
      <c r="H22" s="4">
        <v>0</v>
      </c>
      <c r="I22">
        <f t="shared" si="0"/>
        <v>12</v>
      </c>
    </row>
    <row r="23" spans="1:9" x14ac:dyDescent="0.25">
      <c r="A23" s="4" t="s">
        <v>541</v>
      </c>
      <c r="B23" s="4" t="s">
        <v>542</v>
      </c>
      <c r="C23" s="4" t="s">
        <v>592</v>
      </c>
      <c r="D23" s="4">
        <v>0</v>
      </c>
      <c r="E23" s="4">
        <v>9</v>
      </c>
      <c r="F23" s="4">
        <v>6</v>
      </c>
      <c r="G23" s="4">
        <v>0</v>
      </c>
      <c r="H23" s="4">
        <v>0</v>
      </c>
      <c r="I23">
        <f t="shared" si="0"/>
        <v>15</v>
      </c>
    </row>
    <row r="24" spans="1:9" x14ac:dyDescent="0.25">
      <c r="A24" s="4" t="s">
        <v>541</v>
      </c>
      <c r="B24" s="4" t="s">
        <v>542</v>
      </c>
      <c r="C24" s="4" t="s">
        <v>593</v>
      </c>
      <c r="D24" s="4">
        <v>3</v>
      </c>
      <c r="E24" s="4">
        <v>1</v>
      </c>
      <c r="F24" s="4">
        <v>0</v>
      </c>
      <c r="G24" s="4">
        <v>0</v>
      </c>
      <c r="H24" s="4">
        <v>0</v>
      </c>
      <c r="I24">
        <f t="shared" si="0"/>
        <v>4</v>
      </c>
    </row>
    <row r="25" spans="1:9" x14ac:dyDescent="0.25">
      <c r="A25" s="4" t="s">
        <v>543</v>
      </c>
      <c r="B25" s="4" t="s">
        <v>544</v>
      </c>
      <c r="C25" s="4" t="s">
        <v>591</v>
      </c>
      <c r="D25" s="4">
        <v>8</v>
      </c>
      <c r="E25" s="4">
        <v>0</v>
      </c>
      <c r="F25" s="4">
        <v>0</v>
      </c>
      <c r="G25" s="4">
        <v>0</v>
      </c>
      <c r="H25" s="4">
        <v>0</v>
      </c>
      <c r="I25">
        <f t="shared" si="0"/>
        <v>8</v>
      </c>
    </row>
    <row r="26" spans="1:9" x14ac:dyDescent="0.25">
      <c r="A26" s="4" t="s">
        <v>543</v>
      </c>
      <c r="B26" s="4" t="s">
        <v>544</v>
      </c>
      <c r="C26" s="4" t="s">
        <v>592</v>
      </c>
      <c r="D26" s="4">
        <v>2</v>
      </c>
      <c r="E26" s="4">
        <v>1</v>
      </c>
      <c r="F26" s="4">
        <v>0</v>
      </c>
      <c r="G26" s="4">
        <v>0</v>
      </c>
      <c r="H26" s="4">
        <v>0</v>
      </c>
      <c r="I26">
        <f t="shared" si="0"/>
        <v>3</v>
      </c>
    </row>
    <row r="27" spans="1:9" x14ac:dyDescent="0.25">
      <c r="A27" s="4" t="s">
        <v>545</v>
      </c>
      <c r="B27" s="4" t="s">
        <v>546</v>
      </c>
      <c r="C27" s="4" t="s">
        <v>591</v>
      </c>
      <c r="D27" s="4">
        <v>4</v>
      </c>
      <c r="E27" s="4">
        <v>3</v>
      </c>
      <c r="F27" s="4">
        <v>1</v>
      </c>
      <c r="G27" s="4">
        <v>4</v>
      </c>
      <c r="H27" s="4">
        <v>0</v>
      </c>
      <c r="I27">
        <f t="shared" si="0"/>
        <v>12</v>
      </c>
    </row>
    <row r="28" spans="1:9" x14ac:dyDescent="0.25">
      <c r="A28" s="4" t="s">
        <v>545</v>
      </c>
      <c r="B28" s="4" t="s">
        <v>546</v>
      </c>
      <c r="C28" s="4" t="s">
        <v>592</v>
      </c>
      <c r="D28" s="4">
        <v>11</v>
      </c>
      <c r="E28" s="4">
        <v>4</v>
      </c>
      <c r="F28" s="4">
        <v>4</v>
      </c>
      <c r="G28" s="4">
        <v>3</v>
      </c>
      <c r="H28" s="4">
        <v>0</v>
      </c>
      <c r="I28">
        <f t="shared" si="0"/>
        <v>22</v>
      </c>
    </row>
    <row r="29" spans="1:9" x14ac:dyDescent="0.25">
      <c r="A29" s="4" t="s">
        <v>545</v>
      </c>
      <c r="B29" s="4" t="s">
        <v>546</v>
      </c>
      <c r="C29" s="4" t="s">
        <v>593</v>
      </c>
      <c r="D29" s="4">
        <v>2</v>
      </c>
      <c r="E29" s="4">
        <v>7</v>
      </c>
      <c r="F29" s="4">
        <v>1</v>
      </c>
      <c r="G29" s="4">
        <v>1</v>
      </c>
      <c r="H29" s="4">
        <v>0</v>
      </c>
      <c r="I29">
        <f t="shared" si="0"/>
        <v>11</v>
      </c>
    </row>
    <row r="30" spans="1:9" x14ac:dyDescent="0.25">
      <c r="A30" s="4" t="s">
        <v>547</v>
      </c>
      <c r="B30" s="4" t="s">
        <v>548</v>
      </c>
      <c r="C30" s="4" t="s">
        <v>591</v>
      </c>
      <c r="D30" s="4">
        <v>23</v>
      </c>
      <c r="E30" s="4">
        <v>7</v>
      </c>
      <c r="F30" s="4">
        <v>5</v>
      </c>
      <c r="G30" s="4">
        <v>0</v>
      </c>
      <c r="H30" s="4">
        <v>0</v>
      </c>
      <c r="I30">
        <f t="shared" si="0"/>
        <v>35</v>
      </c>
    </row>
    <row r="31" spans="1:9" x14ac:dyDescent="0.25">
      <c r="A31" s="4" t="s">
        <v>547</v>
      </c>
      <c r="B31" s="4" t="s">
        <v>548</v>
      </c>
      <c r="C31" s="4" t="s">
        <v>592</v>
      </c>
      <c r="D31" s="4">
        <v>22</v>
      </c>
      <c r="E31" s="4">
        <v>6</v>
      </c>
      <c r="F31" s="4">
        <v>0</v>
      </c>
      <c r="G31" s="4">
        <v>0</v>
      </c>
      <c r="H31" s="4">
        <v>0</v>
      </c>
      <c r="I31">
        <f t="shared" si="0"/>
        <v>28</v>
      </c>
    </row>
    <row r="32" spans="1:9" x14ac:dyDescent="0.25">
      <c r="A32" s="4" t="s">
        <v>547</v>
      </c>
      <c r="B32" s="4" t="s">
        <v>548</v>
      </c>
      <c r="C32" s="4" t="s">
        <v>593</v>
      </c>
      <c r="D32" s="4">
        <v>8</v>
      </c>
      <c r="E32" s="4">
        <v>0</v>
      </c>
      <c r="F32" s="4">
        <v>1</v>
      </c>
      <c r="G32" s="4">
        <v>0</v>
      </c>
      <c r="H32" s="4">
        <v>0</v>
      </c>
      <c r="I32">
        <f t="shared" si="0"/>
        <v>9</v>
      </c>
    </row>
    <row r="33" spans="1:9" x14ac:dyDescent="0.25">
      <c r="A33" s="4" t="s">
        <v>547</v>
      </c>
      <c r="B33" s="4" t="s">
        <v>548</v>
      </c>
      <c r="C33" s="4" t="s">
        <v>622</v>
      </c>
      <c r="D33" s="4">
        <v>0</v>
      </c>
      <c r="E33" s="4">
        <v>0</v>
      </c>
      <c r="F33" s="4">
        <v>0</v>
      </c>
      <c r="G33" s="4">
        <v>9</v>
      </c>
      <c r="H33" s="4">
        <v>0</v>
      </c>
      <c r="I33">
        <f t="shared" si="0"/>
        <v>9</v>
      </c>
    </row>
    <row r="34" spans="1:9" x14ac:dyDescent="0.25">
      <c r="A34" s="4" t="s">
        <v>549</v>
      </c>
      <c r="B34" s="4" t="s">
        <v>550</v>
      </c>
      <c r="C34" s="4" t="s">
        <v>591</v>
      </c>
      <c r="D34" s="4">
        <v>22</v>
      </c>
      <c r="E34" s="4">
        <v>2</v>
      </c>
      <c r="F34" s="4">
        <v>3</v>
      </c>
      <c r="G34" s="4">
        <v>0</v>
      </c>
      <c r="H34" s="4">
        <v>0</v>
      </c>
      <c r="I34">
        <f t="shared" si="0"/>
        <v>27</v>
      </c>
    </row>
    <row r="35" spans="1:9" x14ac:dyDescent="0.25">
      <c r="A35" s="4" t="s">
        <v>549</v>
      </c>
      <c r="B35" s="4" t="s">
        <v>550</v>
      </c>
      <c r="C35" s="4" t="s">
        <v>592</v>
      </c>
      <c r="D35" s="4">
        <v>7</v>
      </c>
      <c r="E35" s="4">
        <v>3</v>
      </c>
      <c r="F35" s="4">
        <v>1</v>
      </c>
      <c r="G35" s="4">
        <v>0</v>
      </c>
      <c r="H35" s="4">
        <v>0</v>
      </c>
      <c r="I35">
        <f t="shared" si="0"/>
        <v>11</v>
      </c>
    </row>
    <row r="36" spans="1:9" x14ac:dyDescent="0.25">
      <c r="A36" s="4" t="s">
        <v>549</v>
      </c>
      <c r="B36" s="4" t="s">
        <v>550</v>
      </c>
      <c r="C36" s="4" t="s">
        <v>593</v>
      </c>
      <c r="D36" s="4">
        <v>6</v>
      </c>
      <c r="E36" s="4">
        <v>1</v>
      </c>
      <c r="F36" s="4">
        <v>0</v>
      </c>
      <c r="G36" s="4">
        <v>0</v>
      </c>
      <c r="H36" s="4">
        <v>0</v>
      </c>
      <c r="I36">
        <f t="shared" si="0"/>
        <v>7</v>
      </c>
    </row>
    <row r="37" spans="1:9" x14ac:dyDescent="0.25">
      <c r="A37" s="4" t="s">
        <v>549</v>
      </c>
      <c r="B37" s="4" t="s">
        <v>550</v>
      </c>
      <c r="C37" s="4" t="s">
        <v>622</v>
      </c>
      <c r="D37" s="4">
        <v>0</v>
      </c>
      <c r="E37" s="4">
        <v>0</v>
      </c>
      <c r="F37" s="4">
        <v>0</v>
      </c>
      <c r="G37" s="4">
        <v>2</v>
      </c>
      <c r="H37" s="4">
        <v>0</v>
      </c>
      <c r="I37">
        <f t="shared" ref="I37:I68" si="1">SUM(D37:H37)</f>
        <v>2</v>
      </c>
    </row>
    <row r="38" spans="1:9" x14ac:dyDescent="0.25">
      <c r="A38" s="4" t="s">
        <v>551</v>
      </c>
      <c r="B38" s="4" t="s">
        <v>552</v>
      </c>
      <c r="C38" s="4" t="s">
        <v>591</v>
      </c>
      <c r="D38" s="4">
        <v>13</v>
      </c>
      <c r="E38" s="4">
        <v>0</v>
      </c>
      <c r="F38" s="4">
        <v>3</v>
      </c>
      <c r="G38" s="4">
        <v>0</v>
      </c>
      <c r="H38" s="4">
        <v>0</v>
      </c>
      <c r="I38">
        <f t="shared" si="1"/>
        <v>16</v>
      </c>
    </row>
    <row r="39" spans="1:9" x14ac:dyDescent="0.25">
      <c r="A39" s="4" t="s">
        <v>551</v>
      </c>
      <c r="B39" s="4" t="s">
        <v>552</v>
      </c>
      <c r="C39" s="4" t="s">
        <v>592</v>
      </c>
      <c r="D39" s="4">
        <v>7</v>
      </c>
      <c r="E39" s="4">
        <v>2</v>
      </c>
      <c r="F39" s="4">
        <v>3</v>
      </c>
      <c r="G39" s="4">
        <v>0</v>
      </c>
      <c r="H39" s="4">
        <v>0</v>
      </c>
      <c r="I39">
        <f t="shared" si="1"/>
        <v>12</v>
      </c>
    </row>
    <row r="40" spans="1:9" x14ac:dyDescent="0.25">
      <c r="A40" s="4" t="s">
        <v>551</v>
      </c>
      <c r="B40" s="4" t="s">
        <v>552</v>
      </c>
      <c r="C40" s="4" t="s">
        <v>593</v>
      </c>
      <c r="D40" s="4">
        <v>7</v>
      </c>
      <c r="E40" s="4">
        <v>1</v>
      </c>
      <c r="F40" s="4">
        <v>0</v>
      </c>
      <c r="G40" s="4">
        <v>0</v>
      </c>
      <c r="H40" s="4">
        <v>0</v>
      </c>
      <c r="I40">
        <f t="shared" si="1"/>
        <v>8</v>
      </c>
    </row>
    <row r="41" spans="1:9" x14ac:dyDescent="0.25">
      <c r="A41" s="4" t="s">
        <v>551</v>
      </c>
      <c r="B41" s="4" t="s">
        <v>552</v>
      </c>
      <c r="C41" s="4" t="s">
        <v>622</v>
      </c>
      <c r="D41" s="4">
        <v>0</v>
      </c>
      <c r="E41" s="4">
        <v>0</v>
      </c>
      <c r="F41" s="4">
        <v>0</v>
      </c>
      <c r="G41" s="4">
        <v>2</v>
      </c>
      <c r="H41" s="4">
        <v>0</v>
      </c>
      <c r="I41">
        <f t="shared" si="1"/>
        <v>2</v>
      </c>
    </row>
    <row r="42" spans="1:9" x14ac:dyDescent="0.25">
      <c r="A42" s="4" t="s">
        <v>553</v>
      </c>
      <c r="B42" s="4" t="s">
        <v>554</v>
      </c>
      <c r="C42" s="4" t="s">
        <v>591</v>
      </c>
      <c r="D42" s="4">
        <v>3</v>
      </c>
      <c r="E42" s="4">
        <v>7</v>
      </c>
      <c r="F42" s="4">
        <v>6</v>
      </c>
      <c r="G42" s="4">
        <v>0</v>
      </c>
      <c r="H42" s="4">
        <v>0</v>
      </c>
      <c r="I42">
        <f t="shared" si="1"/>
        <v>16</v>
      </c>
    </row>
    <row r="43" spans="1:9" x14ac:dyDescent="0.25">
      <c r="A43" s="4" t="s">
        <v>553</v>
      </c>
      <c r="B43" s="4" t="s">
        <v>554</v>
      </c>
      <c r="C43" s="4" t="s">
        <v>592</v>
      </c>
      <c r="D43" s="4">
        <v>0</v>
      </c>
      <c r="E43" s="4">
        <v>2</v>
      </c>
      <c r="F43" s="4">
        <v>7</v>
      </c>
      <c r="G43" s="4">
        <v>0</v>
      </c>
      <c r="H43" s="4">
        <v>0</v>
      </c>
      <c r="I43">
        <f t="shared" si="1"/>
        <v>9</v>
      </c>
    </row>
    <row r="44" spans="1:9" x14ac:dyDescent="0.25">
      <c r="A44" s="4" t="s">
        <v>553</v>
      </c>
      <c r="B44" s="4" t="s">
        <v>554</v>
      </c>
      <c r="C44" s="4" t="s">
        <v>593</v>
      </c>
      <c r="D44" s="4">
        <v>1</v>
      </c>
      <c r="E44" s="4">
        <v>3</v>
      </c>
      <c r="F44" s="4">
        <v>1</v>
      </c>
      <c r="G44" s="4">
        <v>0</v>
      </c>
      <c r="H44" s="4">
        <v>0</v>
      </c>
      <c r="I44">
        <f t="shared" si="1"/>
        <v>5</v>
      </c>
    </row>
    <row r="45" spans="1:9" x14ac:dyDescent="0.25">
      <c r="A45" s="4" t="s">
        <v>555</v>
      </c>
      <c r="B45" s="4" t="s">
        <v>556</v>
      </c>
      <c r="C45" s="4" t="s">
        <v>591</v>
      </c>
      <c r="D45" s="4">
        <v>10</v>
      </c>
      <c r="E45" s="4">
        <v>0</v>
      </c>
      <c r="F45" s="4">
        <v>3</v>
      </c>
      <c r="G45" s="4">
        <v>0</v>
      </c>
      <c r="H45" s="4">
        <v>0</v>
      </c>
      <c r="I45">
        <f t="shared" si="1"/>
        <v>13</v>
      </c>
    </row>
    <row r="46" spans="1:9" x14ac:dyDescent="0.25">
      <c r="A46" s="4" t="s">
        <v>555</v>
      </c>
      <c r="B46" s="4" t="s">
        <v>556</v>
      </c>
      <c r="C46" s="4" t="s">
        <v>592</v>
      </c>
      <c r="D46" s="4">
        <v>11</v>
      </c>
      <c r="E46" s="4">
        <v>1</v>
      </c>
      <c r="F46" s="4">
        <v>0</v>
      </c>
      <c r="G46" s="4">
        <v>0</v>
      </c>
      <c r="H46" s="4">
        <v>0</v>
      </c>
      <c r="I46">
        <f t="shared" si="1"/>
        <v>12</v>
      </c>
    </row>
    <row r="47" spans="1:9" x14ac:dyDescent="0.25">
      <c r="A47" s="4" t="s">
        <v>555</v>
      </c>
      <c r="B47" s="4" t="s">
        <v>556</v>
      </c>
      <c r="C47" s="4" t="s">
        <v>593</v>
      </c>
      <c r="D47" s="4">
        <v>2</v>
      </c>
      <c r="E47" s="4">
        <v>2</v>
      </c>
      <c r="F47" s="4">
        <v>1</v>
      </c>
      <c r="G47" s="4">
        <v>0</v>
      </c>
      <c r="H47" s="4">
        <v>0</v>
      </c>
      <c r="I47">
        <f t="shared" si="1"/>
        <v>5</v>
      </c>
    </row>
    <row r="48" spans="1:9" x14ac:dyDescent="0.25">
      <c r="A48" s="4" t="s">
        <v>557</v>
      </c>
      <c r="B48" s="4" t="s">
        <v>558</v>
      </c>
      <c r="C48" s="4" t="s">
        <v>591</v>
      </c>
      <c r="D48" s="4">
        <v>0</v>
      </c>
      <c r="E48" s="4">
        <v>0</v>
      </c>
      <c r="F48" s="4">
        <v>29</v>
      </c>
      <c r="G48" s="4">
        <v>0</v>
      </c>
      <c r="H48" s="4">
        <v>0</v>
      </c>
      <c r="I48">
        <f t="shared" si="1"/>
        <v>29</v>
      </c>
    </row>
    <row r="49" spans="1:9" x14ac:dyDescent="0.25">
      <c r="A49" s="4" t="s">
        <v>557</v>
      </c>
      <c r="B49" s="4" t="s">
        <v>558</v>
      </c>
      <c r="C49" s="4" t="s">
        <v>592</v>
      </c>
      <c r="D49" s="4">
        <v>0</v>
      </c>
      <c r="E49" s="4">
        <v>0</v>
      </c>
      <c r="F49" s="4">
        <v>1</v>
      </c>
      <c r="G49" s="4">
        <v>0</v>
      </c>
      <c r="H49" s="4">
        <v>0</v>
      </c>
      <c r="I49">
        <f t="shared" si="1"/>
        <v>1</v>
      </c>
    </row>
    <row r="50" spans="1:9" x14ac:dyDescent="0.25">
      <c r="A50" s="4" t="s">
        <v>559</v>
      </c>
      <c r="B50" s="4" t="s">
        <v>560</v>
      </c>
      <c r="C50" s="4" t="s">
        <v>591</v>
      </c>
      <c r="D50" s="4">
        <v>3</v>
      </c>
      <c r="E50" s="4">
        <v>0</v>
      </c>
      <c r="F50" s="4">
        <v>3</v>
      </c>
      <c r="G50" s="4">
        <v>0</v>
      </c>
      <c r="H50" s="4">
        <v>0</v>
      </c>
      <c r="I50">
        <f t="shared" si="1"/>
        <v>6</v>
      </c>
    </row>
    <row r="51" spans="1:9" x14ac:dyDescent="0.25">
      <c r="A51" s="4" t="s">
        <v>559</v>
      </c>
      <c r="B51" s="4" t="s">
        <v>560</v>
      </c>
      <c r="C51" s="4" t="s">
        <v>592</v>
      </c>
      <c r="D51" s="4">
        <v>6</v>
      </c>
      <c r="E51" s="4">
        <v>1</v>
      </c>
      <c r="F51" s="4">
        <v>2</v>
      </c>
      <c r="G51" s="4">
        <v>0</v>
      </c>
      <c r="H51" s="4">
        <v>0</v>
      </c>
      <c r="I51">
        <f t="shared" si="1"/>
        <v>9</v>
      </c>
    </row>
    <row r="52" spans="1:9" x14ac:dyDescent="0.25">
      <c r="A52" s="4" t="s">
        <v>559</v>
      </c>
      <c r="B52" s="4" t="s">
        <v>560</v>
      </c>
      <c r="C52" s="4" t="s">
        <v>593</v>
      </c>
      <c r="D52" s="4">
        <v>4</v>
      </c>
      <c r="E52" s="4">
        <v>1</v>
      </c>
      <c r="F52" s="4">
        <v>2</v>
      </c>
      <c r="G52" s="4">
        <v>0</v>
      </c>
      <c r="H52" s="4">
        <v>0</v>
      </c>
      <c r="I52">
        <f t="shared" si="1"/>
        <v>7</v>
      </c>
    </row>
    <row r="53" spans="1:9" x14ac:dyDescent="0.25">
      <c r="A53" s="4" t="s">
        <v>559</v>
      </c>
      <c r="B53" s="4" t="s">
        <v>560</v>
      </c>
      <c r="C53" s="4" t="s">
        <v>622</v>
      </c>
      <c r="D53" s="4">
        <v>0</v>
      </c>
      <c r="E53" s="4">
        <v>0</v>
      </c>
      <c r="F53" s="4">
        <v>0</v>
      </c>
      <c r="G53" s="4">
        <v>3</v>
      </c>
      <c r="H53" s="4">
        <v>0</v>
      </c>
      <c r="I53">
        <f t="shared" si="1"/>
        <v>3</v>
      </c>
    </row>
    <row r="54" spans="1:9" x14ac:dyDescent="0.25">
      <c r="A54" s="4" t="s">
        <v>561</v>
      </c>
      <c r="B54" s="4" t="s">
        <v>562</v>
      </c>
      <c r="C54" s="4" t="s">
        <v>591</v>
      </c>
      <c r="D54" s="4">
        <v>7</v>
      </c>
      <c r="E54" s="4">
        <v>0</v>
      </c>
      <c r="F54" s="4">
        <v>15</v>
      </c>
      <c r="G54" s="4">
        <v>0</v>
      </c>
      <c r="H54" s="4">
        <v>0</v>
      </c>
      <c r="I54">
        <f t="shared" si="1"/>
        <v>22</v>
      </c>
    </row>
    <row r="55" spans="1:9" x14ac:dyDescent="0.25">
      <c r="A55" s="4" t="s">
        <v>561</v>
      </c>
      <c r="B55" s="4" t="s">
        <v>562</v>
      </c>
      <c r="C55" s="4" t="s">
        <v>592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>
        <f t="shared" si="1"/>
        <v>1</v>
      </c>
    </row>
    <row r="56" spans="1:9" x14ac:dyDescent="0.25">
      <c r="A56" s="4" t="s">
        <v>561</v>
      </c>
      <c r="B56" s="4" t="s">
        <v>562</v>
      </c>
      <c r="C56" s="4" t="s">
        <v>622</v>
      </c>
      <c r="D56" s="4">
        <v>0</v>
      </c>
      <c r="E56" s="4">
        <v>0</v>
      </c>
      <c r="F56" s="4">
        <v>0</v>
      </c>
      <c r="G56" s="4">
        <v>2</v>
      </c>
      <c r="H56" s="4">
        <v>0</v>
      </c>
      <c r="I56">
        <f t="shared" si="1"/>
        <v>2</v>
      </c>
    </row>
    <row r="57" spans="1:9" x14ac:dyDescent="0.25">
      <c r="A57" s="4" t="s">
        <v>563</v>
      </c>
      <c r="B57" s="4" t="s">
        <v>564</v>
      </c>
      <c r="C57" s="4" t="s">
        <v>591</v>
      </c>
      <c r="D57" s="4">
        <v>4</v>
      </c>
      <c r="E57" s="4">
        <v>0</v>
      </c>
      <c r="F57" s="4">
        <v>12</v>
      </c>
      <c r="G57" s="4">
        <v>2</v>
      </c>
      <c r="H57" s="4">
        <v>0</v>
      </c>
      <c r="I57">
        <f t="shared" si="1"/>
        <v>18</v>
      </c>
    </row>
    <row r="58" spans="1:9" x14ac:dyDescent="0.25">
      <c r="A58" s="4" t="s">
        <v>563</v>
      </c>
      <c r="B58" s="4" t="s">
        <v>564</v>
      </c>
      <c r="C58" s="4" t="s">
        <v>592</v>
      </c>
      <c r="D58" s="4">
        <v>4</v>
      </c>
      <c r="E58" s="4">
        <v>4</v>
      </c>
      <c r="F58" s="4">
        <v>11</v>
      </c>
      <c r="G58" s="4">
        <v>6</v>
      </c>
      <c r="H58" s="4">
        <v>0</v>
      </c>
      <c r="I58">
        <f t="shared" si="1"/>
        <v>25</v>
      </c>
    </row>
    <row r="59" spans="1:9" x14ac:dyDescent="0.25">
      <c r="A59" s="4" t="s">
        <v>563</v>
      </c>
      <c r="B59" s="4" t="s">
        <v>564</v>
      </c>
      <c r="C59" s="4" t="s">
        <v>593</v>
      </c>
      <c r="D59" s="4">
        <v>1</v>
      </c>
      <c r="E59" s="4">
        <v>2</v>
      </c>
      <c r="F59" s="4">
        <v>1</v>
      </c>
      <c r="G59" s="4">
        <v>2</v>
      </c>
      <c r="H59" s="4">
        <v>0</v>
      </c>
      <c r="I59">
        <f t="shared" si="1"/>
        <v>6</v>
      </c>
    </row>
    <row r="60" spans="1:9" x14ac:dyDescent="0.25">
      <c r="A60" s="4" t="s">
        <v>565</v>
      </c>
      <c r="B60" s="4" t="s">
        <v>566</v>
      </c>
      <c r="C60" s="4" t="s">
        <v>591</v>
      </c>
      <c r="D60" s="4">
        <v>3</v>
      </c>
      <c r="E60" s="4">
        <v>1</v>
      </c>
      <c r="F60" s="4">
        <v>1</v>
      </c>
      <c r="G60" s="4">
        <v>0</v>
      </c>
      <c r="H60" s="4">
        <v>0</v>
      </c>
      <c r="I60">
        <f t="shared" si="1"/>
        <v>5</v>
      </c>
    </row>
    <row r="61" spans="1:9" x14ac:dyDescent="0.25">
      <c r="A61" s="4" t="s">
        <v>565</v>
      </c>
      <c r="B61" s="4" t="s">
        <v>566</v>
      </c>
      <c r="C61" s="4" t="s">
        <v>592</v>
      </c>
      <c r="D61" s="4">
        <v>1</v>
      </c>
      <c r="E61" s="4">
        <v>1</v>
      </c>
      <c r="F61" s="4">
        <v>2</v>
      </c>
      <c r="G61" s="4">
        <v>0</v>
      </c>
      <c r="H61" s="4">
        <v>0</v>
      </c>
      <c r="I61">
        <f t="shared" si="1"/>
        <v>4</v>
      </c>
    </row>
    <row r="62" spans="1:9" x14ac:dyDescent="0.25">
      <c r="A62" s="4" t="s">
        <v>565</v>
      </c>
      <c r="B62" s="4" t="s">
        <v>566</v>
      </c>
      <c r="C62" s="4" t="s">
        <v>593</v>
      </c>
      <c r="D62" s="4">
        <v>1</v>
      </c>
      <c r="E62" s="4">
        <v>2</v>
      </c>
      <c r="F62" s="4">
        <v>9</v>
      </c>
      <c r="G62" s="4">
        <v>0</v>
      </c>
      <c r="H62" s="4">
        <v>0</v>
      </c>
      <c r="I62">
        <f t="shared" si="1"/>
        <v>12</v>
      </c>
    </row>
    <row r="63" spans="1:9" x14ac:dyDescent="0.25">
      <c r="A63" s="4" t="s">
        <v>567</v>
      </c>
      <c r="B63" s="4" t="s">
        <v>568</v>
      </c>
      <c r="C63" s="4" t="s">
        <v>591</v>
      </c>
      <c r="D63" s="4">
        <v>0</v>
      </c>
      <c r="E63" s="4">
        <v>1</v>
      </c>
      <c r="F63" s="4">
        <v>19</v>
      </c>
      <c r="G63" s="4">
        <v>0</v>
      </c>
      <c r="H63" s="4">
        <v>0</v>
      </c>
      <c r="I63">
        <f t="shared" si="1"/>
        <v>20</v>
      </c>
    </row>
    <row r="64" spans="1:9" x14ac:dyDescent="0.25">
      <c r="A64" s="4" t="s">
        <v>567</v>
      </c>
      <c r="B64" s="4" t="s">
        <v>568</v>
      </c>
      <c r="C64" s="4" t="s">
        <v>592</v>
      </c>
      <c r="D64" s="4">
        <v>0</v>
      </c>
      <c r="E64" s="4">
        <v>1</v>
      </c>
      <c r="F64" s="4">
        <v>6</v>
      </c>
      <c r="G64" s="4">
        <v>0</v>
      </c>
      <c r="H64" s="4">
        <v>0</v>
      </c>
      <c r="I64">
        <f t="shared" si="1"/>
        <v>7</v>
      </c>
    </row>
    <row r="65" spans="1:9" x14ac:dyDescent="0.25">
      <c r="A65" s="4" t="s">
        <v>567</v>
      </c>
      <c r="B65" s="4" t="s">
        <v>568</v>
      </c>
      <c r="C65" s="4" t="s">
        <v>593</v>
      </c>
      <c r="D65" s="4">
        <v>0</v>
      </c>
      <c r="E65" s="4">
        <v>0</v>
      </c>
      <c r="F65" s="4">
        <v>4</v>
      </c>
      <c r="G65" s="4">
        <v>0</v>
      </c>
      <c r="H65" s="4">
        <v>0</v>
      </c>
      <c r="I65">
        <f t="shared" si="1"/>
        <v>4</v>
      </c>
    </row>
    <row r="66" spans="1:9" x14ac:dyDescent="0.25">
      <c r="A66" s="4" t="s">
        <v>569</v>
      </c>
      <c r="B66" s="4" t="s">
        <v>570</v>
      </c>
      <c r="C66" s="4" t="s">
        <v>591</v>
      </c>
      <c r="D66" s="4">
        <v>0</v>
      </c>
      <c r="E66" s="4">
        <v>0</v>
      </c>
      <c r="F66" s="4">
        <v>12</v>
      </c>
      <c r="G66" s="4">
        <v>0</v>
      </c>
      <c r="H66" s="4">
        <v>0</v>
      </c>
      <c r="I66">
        <f t="shared" si="1"/>
        <v>12</v>
      </c>
    </row>
    <row r="67" spans="1:9" x14ac:dyDescent="0.25">
      <c r="A67" s="4" t="s">
        <v>569</v>
      </c>
      <c r="B67" s="4" t="s">
        <v>570</v>
      </c>
      <c r="C67" s="4" t="s">
        <v>592</v>
      </c>
      <c r="D67" s="4">
        <v>0</v>
      </c>
      <c r="E67" s="4">
        <v>0</v>
      </c>
      <c r="F67" s="4">
        <v>6</v>
      </c>
      <c r="G67" s="4">
        <v>0</v>
      </c>
      <c r="H67" s="4">
        <v>0</v>
      </c>
      <c r="I67">
        <f t="shared" si="1"/>
        <v>6</v>
      </c>
    </row>
    <row r="68" spans="1:9" x14ac:dyDescent="0.25">
      <c r="A68" s="4" t="s">
        <v>569</v>
      </c>
      <c r="B68" s="4" t="s">
        <v>570</v>
      </c>
      <c r="C68" s="4" t="s">
        <v>593</v>
      </c>
      <c r="D68" s="4">
        <v>0</v>
      </c>
      <c r="E68" s="4">
        <v>0</v>
      </c>
      <c r="F68" s="4">
        <v>11</v>
      </c>
      <c r="G68" s="4">
        <v>0</v>
      </c>
      <c r="H68" s="4">
        <v>0</v>
      </c>
      <c r="I68">
        <f t="shared" si="1"/>
        <v>11</v>
      </c>
    </row>
    <row r="69" spans="1:9" x14ac:dyDescent="0.25">
      <c r="A69" s="4" t="s">
        <v>569</v>
      </c>
      <c r="B69" s="4" t="s">
        <v>570</v>
      </c>
      <c r="C69" s="4" t="s">
        <v>622</v>
      </c>
      <c r="D69" s="4">
        <v>0</v>
      </c>
      <c r="E69" s="4">
        <v>0</v>
      </c>
      <c r="F69" s="4">
        <v>1</v>
      </c>
      <c r="G69" s="4">
        <v>0</v>
      </c>
      <c r="H69" s="4">
        <v>0</v>
      </c>
      <c r="I69">
        <f t="shared" ref="I69:I100" si="2">SUM(D69:H69)</f>
        <v>1</v>
      </c>
    </row>
    <row r="70" spans="1:9" x14ac:dyDescent="0.25">
      <c r="A70" s="4" t="s">
        <v>571</v>
      </c>
      <c r="B70" s="4" t="s">
        <v>572</v>
      </c>
      <c r="C70" s="4" t="s">
        <v>591</v>
      </c>
      <c r="D70" s="4">
        <v>4</v>
      </c>
      <c r="E70" s="4">
        <v>4</v>
      </c>
      <c r="F70" s="4">
        <v>4</v>
      </c>
      <c r="G70" s="4">
        <v>1</v>
      </c>
      <c r="H70" s="4">
        <v>0</v>
      </c>
      <c r="I70">
        <f t="shared" si="2"/>
        <v>13</v>
      </c>
    </row>
    <row r="71" spans="1:9" x14ac:dyDescent="0.25">
      <c r="A71" s="4" t="s">
        <v>571</v>
      </c>
      <c r="B71" s="4" t="s">
        <v>572</v>
      </c>
      <c r="C71" s="4" t="s">
        <v>592</v>
      </c>
      <c r="D71" s="4">
        <v>4</v>
      </c>
      <c r="E71" s="4">
        <v>4</v>
      </c>
      <c r="F71" s="4">
        <v>5</v>
      </c>
      <c r="G71" s="4">
        <v>0</v>
      </c>
      <c r="H71" s="4">
        <v>0</v>
      </c>
      <c r="I71">
        <f t="shared" si="2"/>
        <v>13</v>
      </c>
    </row>
    <row r="72" spans="1:9" x14ac:dyDescent="0.25">
      <c r="A72" s="4" t="s">
        <v>571</v>
      </c>
      <c r="B72" s="4" t="s">
        <v>572</v>
      </c>
      <c r="C72" s="4" t="s">
        <v>593</v>
      </c>
      <c r="D72" s="4">
        <v>1</v>
      </c>
      <c r="E72" s="4">
        <v>0</v>
      </c>
      <c r="F72" s="4">
        <v>1</v>
      </c>
      <c r="G72" s="4">
        <v>0</v>
      </c>
      <c r="H72" s="4">
        <v>0</v>
      </c>
      <c r="I72">
        <f t="shared" si="2"/>
        <v>2</v>
      </c>
    </row>
    <row r="73" spans="1:9" x14ac:dyDescent="0.25">
      <c r="A73" s="4" t="s">
        <v>573</v>
      </c>
      <c r="B73" s="4" t="s">
        <v>574</v>
      </c>
      <c r="C73" s="4" t="s">
        <v>591</v>
      </c>
      <c r="D73" s="4">
        <v>11</v>
      </c>
      <c r="E73" s="4">
        <v>2</v>
      </c>
      <c r="F73" s="4">
        <v>0</v>
      </c>
      <c r="G73" s="4">
        <v>1</v>
      </c>
      <c r="H73" s="4">
        <v>0</v>
      </c>
      <c r="I73">
        <f t="shared" si="2"/>
        <v>14</v>
      </c>
    </row>
    <row r="74" spans="1:9" x14ac:dyDescent="0.25">
      <c r="A74" s="4" t="s">
        <v>573</v>
      </c>
      <c r="B74" s="4" t="s">
        <v>574</v>
      </c>
      <c r="C74" s="4" t="s">
        <v>592</v>
      </c>
      <c r="D74" s="4">
        <v>14</v>
      </c>
      <c r="E74" s="4">
        <v>2</v>
      </c>
      <c r="F74" s="4">
        <v>1</v>
      </c>
      <c r="G74" s="4">
        <v>1</v>
      </c>
      <c r="H74" s="4">
        <v>0</v>
      </c>
      <c r="I74">
        <f t="shared" si="2"/>
        <v>18</v>
      </c>
    </row>
    <row r="75" spans="1:9" x14ac:dyDescent="0.25">
      <c r="A75" s="4" t="s">
        <v>573</v>
      </c>
      <c r="B75" s="4" t="s">
        <v>574</v>
      </c>
      <c r="C75" s="4" t="s">
        <v>593</v>
      </c>
      <c r="D75" s="4">
        <v>4</v>
      </c>
      <c r="E75" s="4">
        <v>4</v>
      </c>
      <c r="F75" s="4">
        <v>0</v>
      </c>
      <c r="G75" s="4">
        <v>1</v>
      </c>
      <c r="H75" s="4">
        <v>0</v>
      </c>
      <c r="I75">
        <f t="shared" si="2"/>
        <v>9</v>
      </c>
    </row>
    <row r="76" spans="1:9" x14ac:dyDescent="0.25">
      <c r="A76" s="4" t="s">
        <v>573</v>
      </c>
      <c r="B76" s="4" t="s">
        <v>574</v>
      </c>
      <c r="C76" s="4" t="s">
        <v>622</v>
      </c>
      <c r="D76" s="4">
        <v>0</v>
      </c>
      <c r="E76" s="4">
        <v>0</v>
      </c>
      <c r="F76" s="4">
        <v>0</v>
      </c>
      <c r="G76" s="4">
        <v>3</v>
      </c>
      <c r="H76" s="4">
        <v>0</v>
      </c>
      <c r="I76">
        <f t="shared" si="2"/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3"/>
  <sheetViews>
    <sheetView workbookViewId="0"/>
  </sheetViews>
  <sheetFormatPr defaultRowHeight="15" x14ac:dyDescent="0.25"/>
  <cols>
    <col min="1" max="1" width="9" customWidth="1"/>
    <col min="2" max="2" width="30" customWidth="1"/>
    <col min="3" max="4" width="45" customWidth="1"/>
    <col min="5" max="5" width="11" customWidth="1"/>
    <col min="6" max="6" width="12" customWidth="1"/>
    <col min="7" max="7" width="13" customWidth="1"/>
  </cols>
  <sheetData>
    <row r="1" spans="1:8" ht="18.75" x14ac:dyDescent="0.3">
      <c r="A1" s="1" t="s">
        <v>623</v>
      </c>
    </row>
    <row r="2" spans="1:8" x14ac:dyDescent="0.25">
      <c r="A2" s="2" t="s">
        <v>624</v>
      </c>
    </row>
    <row r="4" spans="1:8" ht="30" x14ac:dyDescent="0.25">
      <c r="A4" s="3" t="s">
        <v>525</v>
      </c>
      <c r="B4" s="3" t="s">
        <v>526</v>
      </c>
      <c r="C4" s="3" t="s">
        <v>625</v>
      </c>
      <c r="D4" s="3" t="s">
        <v>626</v>
      </c>
      <c r="E4" s="3" t="s">
        <v>588</v>
      </c>
      <c r="F4" s="3" t="s">
        <v>589</v>
      </c>
      <c r="G4" s="3" t="s">
        <v>590</v>
      </c>
      <c r="H4" s="8" t="s">
        <v>53</v>
      </c>
    </row>
    <row r="5" spans="1:8" x14ac:dyDescent="0.25">
      <c r="A5" s="4" t="s">
        <v>529</v>
      </c>
      <c r="B5" s="4" t="s">
        <v>530</v>
      </c>
      <c r="C5" s="4" t="s">
        <v>627</v>
      </c>
      <c r="D5" s="4" t="s">
        <v>628</v>
      </c>
      <c r="E5" s="4">
        <v>1</v>
      </c>
      <c r="F5" s="4">
        <v>0</v>
      </c>
      <c r="G5" s="4">
        <v>0</v>
      </c>
      <c r="H5">
        <f t="shared" ref="H5:H68" si="0">SUM(E5:G5)</f>
        <v>1</v>
      </c>
    </row>
    <row r="6" spans="1:8" x14ac:dyDescent="0.25">
      <c r="A6" s="4" t="s">
        <v>529</v>
      </c>
      <c r="B6" s="4" t="s">
        <v>530</v>
      </c>
      <c r="C6" s="4" t="s">
        <v>629</v>
      </c>
      <c r="D6" s="4" t="s">
        <v>630</v>
      </c>
      <c r="E6" s="4">
        <v>0</v>
      </c>
      <c r="F6" s="4">
        <v>4</v>
      </c>
      <c r="G6" s="4">
        <v>0</v>
      </c>
      <c r="H6">
        <f t="shared" si="0"/>
        <v>4</v>
      </c>
    </row>
    <row r="7" spans="1:8" x14ac:dyDescent="0.25">
      <c r="A7" s="4" t="s">
        <v>529</v>
      </c>
      <c r="B7" s="4" t="s">
        <v>530</v>
      </c>
      <c r="C7" s="4" t="s">
        <v>631</v>
      </c>
      <c r="D7" s="4" t="s">
        <v>632</v>
      </c>
      <c r="E7" s="4">
        <v>1</v>
      </c>
      <c r="F7" s="4">
        <v>6</v>
      </c>
      <c r="G7" s="4">
        <v>1</v>
      </c>
      <c r="H7">
        <f t="shared" si="0"/>
        <v>8</v>
      </c>
    </row>
    <row r="8" spans="1:8" x14ac:dyDescent="0.25">
      <c r="A8" s="4" t="s">
        <v>529</v>
      </c>
      <c r="B8" s="4" t="s">
        <v>530</v>
      </c>
      <c r="C8" s="4" t="s">
        <v>633</v>
      </c>
      <c r="D8" s="4" t="s">
        <v>634</v>
      </c>
      <c r="E8" s="4">
        <v>0</v>
      </c>
      <c r="F8" s="4">
        <v>2</v>
      </c>
      <c r="G8" s="4">
        <v>0</v>
      </c>
      <c r="H8">
        <f t="shared" si="0"/>
        <v>2</v>
      </c>
    </row>
    <row r="9" spans="1:8" x14ac:dyDescent="0.25">
      <c r="A9" s="4" t="s">
        <v>529</v>
      </c>
      <c r="B9" s="4" t="s">
        <v>530</v>
      </c>
      <c r="C9" s="4" t="s">
        <v>635</v>
      </c>
      <c r="D9" s="4" t="s">
        <v>636</v>
      </c>
      <c r="E9" s="4">
        <v>0</v>
      </c>
      <c r="F9" s="4">
        <v>0</v>
      </c>
      <c r="G9" s="4">
        <v>8</v>
      </c>
      <c r="H9">
        <f t="shared" si="0"/>
        <v>8</v>
      </c>
    </row>
    <row r="10" spans="1:8" x14ac:dyDescent="0.25">
      <c r="A10" s="4" t="s">
        <v>529</v>
      </c>
      <c r="B10" s="4" t="s">
        <v>530</v>
      </c>
      <c r="C10" s="4" t="s">
        <v>637</v>
      </c>
      <c r="D10" s="4" t="s">
        <v>638</v>
      </c>
      <c r="E10" s="4">
        <v>0</v>
      </c>
      <c r="F10" s="4">
        <v>3</v>
      </c>
      <c r="G10" s="4">
        <v>3</v>
      </c>
      <c r="H10">
        <f t="shared" si="0"/>
        <v>6</v>
      </c>
    </row>
    <row r="11" spans="1:8" x14ac:dyDescent="0.25">
      <c r="A11" s="4" t="s">
        <v>529</v>
      </c>
      <c r="B11" s="4" t="s">
        <v>530</v>
      </c>
      <c r="C11" s="4" t="s">
        <v>639</v>
      </c>
      <c r="D11" s="4" t="s">
        <v>640</v>
      </c>
      <c r="E11" s="4">
        <v>0</v>
      </c>
      <c r="F11" s="4">
        <v>5</v>
      </c>
      <c r="G11" s="4">
        <v>1</v>
      </c>
      <c r="H11">
        <f t="shared" si="0"/>
        <v>6</v>
      </c>
    </row>
    <row r="12" spans="1:8" x14ac:dyDescent="0.25">
      <c r="A12" s="4" t="s">
        <v>529</v>
      </c>
      <c r="B12" s="4" t="s">
        <v>530</v>
      </c>
      <c r="C12" s="4" t="s">
        <v>641</v>
      </c>
      <c r="D12" s="4" t="s">
        <v>642</v>
      </c>
      <c r="E12" s="4">
        <v>0</v>
      </c>
      <c r="F12" s="4">
        <v>2</v>
      </c>
      <c r="G12" s="4">
        <v>3</v>
      </c>
      <c r="H12">
        <f t="shared" si="0"/>
        <v>5</v>
      </c>
    </row>
    <row r="13" spans="1:8" x14ac:dyDescent="0.25">
      <c r="A13" s="4" t="s">
        <v>529</v>
      </c>
      <c r="B13" s="4" t="s">
        <v>530</v>
      </c>
      <c r="C13" s="4" t="s">
        <v>643</v>
      </c>
      <c r="D13" s="4" t="s">
        <v>644</v>
      </c>
      <c r="E13" s="4">
        <v>0</v>
      </c>
      <c r="F13" s="4">
        <v>1</v>
      </c>
      <c r="G13" s="4">
        <v>2</v>
      </c>
      <c r="H13">
        <f t="shared" si="0"/>
        <v>3</v>
      </c>
    </row>
    <row r="14" spans="1:8" x14ac:dyDescent="0.25">
      <c r="A14" s="4" t="s">
        <v>529</v>
      </c>
      <c r="B14" s="4" t="s">
        <v>530</v>
      </c>
      <c r="C14" s="4" t="s">
        <v>645</v>
      </c>
      <c r="D14" s="4" t="s">
        <v>646</v>
      </c>
      <c r="E14" s="4">
        <v>0</v>
      </c>
      <c r="F14" s="4">
        <v>0</v>
      </c>
      <c r="G14" s="4">
        <v>1</v>
      </c>
      <c r="H14">
        <f t="shared" si="0"/>
        <v>1</v>
      </c>
    </row>
    <row r="15" spans="1:8" x14ac:dyDescent="0.25">
      <c r="A15" s="4" t="s">
        <v>529</v>
      </c>
      <c r="B15" s="4" t="s">
        <v>530</v>
      </c>
      <c r="C15" s="4" t="s">
        <v>647</v>
      </c>
      <c r="D15" s="4" t="s">
        <v>648</v>
      </c>
      <c r="E15" s="4">
        <v>1</v>
      </c>
      <c r="F15" s="4">
        <v>4</v>
      </c>
      <c r="G15" s="4">
        <v>4</v>
      </c>
      <c r="H15">
        <f t="shared" si="0"/>
        <v>9</v>
      </c>
    </row>
    <row r="16" spans="1:8" x14ac:dyDescent="0.25">
      <c r="A16" s="4" t="s">
        <v>529</v>
      </c>
      <c r="B16" s="4" t="s">
        <v>530</v>
      </c>
      <c r="C16" s="4" t="s">
        <v>649</v>
      </c>
      <c r="D16" s="4" t="s">
        <v>650</v>
      </c>
      <c r="E16" s="4">
        <v>0</v>
      </c>
      <c r="F16" s="4">
        <v>2</v>
      </c>
      <c r="G16" s="4">
        <v>2</v>
      </c>
      <c r="H16">
        <f t="shared" si="0"/>
        <v>4</v>
      </c>
    </row>
    <row r="17" spans="1:8" x14ac:dyDescent="0.25">
      <c r="A17" s="4" t="s">
        <v>529</v>
      </c>
      <c r="B17" s="4" t="s">
        <v>530</v>
      </c>
      <c r="C17" s="4" t="s">
        <v>651</v>
      </c>
      <c r="D17" s="4" t="s">
        <v>652</v>
      </c>
      <c r="E17" s="4">
        <v>0</v>
      </c>
      <c r="F17" s="4">
        <v>0</v>
      </c>
      <c r="G17" s="4">
        <v>5</v>
      </c>
      <c r="H17">
        <f t="shared" si="0"/>
        <v>5</v>
      </c>
    </row>
    <row r="18" spans="1:8" x14ac:dyDescent="0.25">
      <c r="A18" s="4" t="s">
        <v>529</v>
      </c>
      <c r="B18" s="4" t="s">
        <v>530</v>
      </c>
      <c r="C18" s="4" t="s">
        <v>653</v>
      </c>
      <c r="D18" s="4" t="s">
        <v>654</v>
      </c>
      <c r="E18" s="4">
        <v>0</v>
      </c>
      <c r="F18" s="4">
        <v>4</v>
      </c>
      <c r="G18" s="4">
        <v>1</v>
      </c>
      <c r="H18">
        <f t="shared" si="0"/>
        <v>5</v>
      </c>
    </row>
    <row r="19" spans="1:8" x14ac:dyDescent="0.25">
      <c r="A19" s="4" t="s">
        <v>531</v>
      </c>
      <c r="B19" s="4" t="s">
        <v>532</v>
      </c>
      <c r="C19" s="4" t="s">
        <v>627</v>
      </c>
      <c r="D19" s="4" t="s">
        <v>628</v>
      </c>
      <c r="E19" s="4">
        <v>1</v>
      </c>
      <c r="F19" s="4">
        <v>0</v>
      </c>
      <c r="G19" s="4">
        <v>0</v>
      </c>
      <c r="H19">
        <f t="shared" si="0"/>
        <v>1</v>
      </c>
    </row>
    <row r="20" spans="1:8" x14ac:dyDescent="0.25">
      <c r="A20" s="4" t="s">
        <v>531</v>
      </c>
      <c r="B20" s="4" t="s">
        <v>532</v>
      </c>
      <c r="C20" s="4" t="s">
        <v>629</v>
      </c>
      <c r="D20" s="4" t="s">
        <v>630</v>
      </c>
      <c r="E20" s="4">
        <v>3</v>
      </c>
      <c r="F20" s="4">
        <v>0</v>
      </c>
      <c r="G20" s="4">
        <v>1</v>
      </c>
      <c r="H20">
        <f t="shared" si="0"/>
        <v>4</v>
      </c>
    </row>
    <row r="21" spans="1:8" x14ac:dyDescent="0.25">
      <c r="A21" s="4" t="s">
        <v>531</v>
      </c>
      <c r="B21" s="4" t="s">
        <v>532</v>
      </c>
      <c r="C21" s="4" t="s">
        <v>655</v>
      </c>
      <c r="D21" s="4" t="s">
        <v>656</v>
      </c>
      <c r="E21" s="4">
        <v>0</v>
      </c>
      <c r="F21" s="4">
        <v>6</v>
      </c>
      <c r="G21" s="4">
        <v>0</v>
      </c>
      <c r="H21">
        <f t="shared" si="0"/>
        <v>6</v>
      </c>
    </row>
    <row r="22" spans="1:8" x14ac:dyDescent="0.25">
      <c r="A22" s="4" t="s">
        <v>531</v>
      </c>
      <c r="B22" s="4" t="s">
        <v>532</v>
      </c>
      <c r="C22" s="4" t="s">
        <v>653</v>
      </c>
      <c r="D22" s="4" t="s">
        <v>654</v>
      </c>
      <c r="E22" s="4">
        <v>5</v>
      </c>
      <c r="F22" s="4">
        <v>0</v>
      </c>
      <c r="G22" s="4">
        <v>0</v>
      </c>
      <c r="H22">
        <f t="shared" si="0"/>
        <v>5</v>
      </c>
    </row>
    <row r="23" spans="1:8" x14ac:dyDescent="0.25">
      <c r="A23" s="4" t="s">
        <v>531</v>
      </c>
      <c r="B23" s="4" t="s">
        <v>532</v>
      </c>
      <c r="C23" s="4" t="s">
        <v>639</v>
      </c>
      <c r="D23" s="4" t="s">
        <v>640</v>
      </c>
      <c r="E23" s="4">
        <v>0</v>
      </c>
      <c r="F23" s="4">
        <v>0</v>
      </c>
      <c r="G23" s="4">
        <v>6</v>
      </c>
      <c r="H23">
        <f t="shared" si="0"/>
        <v>6</v>
      </c>
    </row>
    <row r="24" spans="1:8" x14ac:dyDescent="0.25">
      <c r="A24" s="4" t="s">
        <v>531</v>
      </c>
      <c r="B24" s="4" t="s">
        <v>532</v>
      </c>
      <c r="C24" s="4" t="s">
        <v>657</v>
      </c>
      <c r="D24" s="4" t="s">
        <v>658</v>
      </c>
      <c r="E24" s="4">
        <v>0</v>
      </c>
      <c r="F24" s="4">
        <v>0</v>
      </c>
      <c r="G24" s="4">
        <v>5</v>
      </c>
      <c r="H24">
        <f t="shared" si="0"/>
        <v>5</v>
      </c>
    </row>
    <row r="25" spans="1:8" x14ac:dyDescent="0.25">
      <c r="A25" s="4" t="s">
        <v>531</v>
      </c>
      <c r="B25" s="4" t="s">
        <v>532</v>
      </c>
      <c r="C25" s="4" t="s">
        <v>637</v>
      </c>
      <c r="D25" s="4" t="s">
        <v>638</v>
      </c>
      <c r="E25" s="4">
        <v>0</v>
      </c>
      <c r="F25" s="4">
        <v>6</v>
      </c>
      <c r="G25" s="4">
        <v>0</v>
      </c>
      <c r="H25">
        <f t="shared" si="0"/>
        <v>6</v>
      </c>
    </row>
    <row r="26" spans="1:8" x14ac:dyDescent="0.25">
      <c r="A26" s="4" t="s">
        <v>531</v>
      </c>
      <c r="B26" s="4" t="s">
        <v>532</v>
      </c>
      <c r="C26" s="4" t="s">
        <v>635</v>
      </c>
      <c r="D26" s="4" t="s">
        <v>636</v>
      </c>
      <c r="E26" s="4">
        <v>8</v>
      </c>
      <c r="F26" s="4">
        <v>0</v>
      </c>
      <c r="G26" s="4">
        <v>0</v>
      </c>
      <c r="H26">
        <f t="shared" si="0"/>
        <v>8</v>
      </c>
    </row>
    <row r="27" spans="1:8" x14ac:dyDescent="0.25">
      <c r="A27" s="4" t="s">
        <v>531</v>
      </c>
      <c r="B27" s="4" t="s">
        <v>532</v>
      </c>
      <c r="C27" s="4" t="s">
        <v>659</v>
      </c>
      <c r="D27" s="4" t="s">
        <v>660</v>
      </c>
      <c r="E27" s="4">
        <v>6</v>
      </c>
      <c r="F27" s="4">
        <v>0</v>
      </c>
      <c r="G27" s="4">
        <v>0</v>
      </c>
      <c r="H27">
        <f t="shared" si="0"/>
        <v>6</v>
      </c>
    </row>
    <row r="28" spans="1:8" x14ac:dyDescent="0.25">
      <c r="A28" s="4" t="s">
        <v>531</v>
      </c>
      <c r="B28" s="4" t="s">
        <v>532</v>
      </c>
      <c r="C28" s="4" t="s">
        <v>641</v>
      </c>
      <c r="D28" s="4" t="s">
        <v>642</v>
      </c>
      <c r="E28" s="4">
        <v>0</v>
      </c>
      <c r="F28" s="4">
        <v>0</v>
      </c>
      <c r="G28" s="4">
        <v>5</v>
      </c>
      <c r="H28">
        <f t="shared" si="0"/>
        <v>5</v>
      </c>
    </row>
    <row r="29" spans="1:8" x14ac:dyDescent="0.25">
      <c r="A29" s="4" t="s">
        <v>531</v>
      </c>
      <c r="B29" s="4" t="s">
        <v>532</v>
      </c>
      <c r="C29" s="4" t="s">
        <v>647</v>
      </c>
      <c r="D29" s="4" t="s">
        <v>648</v>
      </c>
      <c r="E29" s="4">
        <v>1</v>
      </c>
      <c r="F29" s="4">
        <v>7</v>
      </c>
      <c r="G29" s="4">
        <v>0</v>
      </c>
      <c r="H29">
        <f t="shared" si="0"/>
        <v>8</v>
      </c>
    </row>
    <row r="30" spans="1:8" x14ac:dyDescent="0.25">
      <c r="A30" s="4" t="s">
        <v>531</v>
      </c>
      <c r="B30" s="4" t="s">
        <v>532</v>
      </c>
      <c r="C30" s="4" t="s">
        <v>651</v>
      </c>
      <c r="D30" s="4" t="s">
        <v>652</v>
      </c>
      <c r="E30" s="4">
        <v>0</v>
      </c>
      <c r="F30" s="4">
        <v>0</v>
      </c>
      <c r="G30" s="4">
        <v>5</v>
      </c>
      <c r="H30">
        <f t="shared" si="0"/>
        <v>5</v>
      </c>
    </row>
    <row r="31" spans="1:8" x14ac:dyDescent="0.25">
      <c r="A31" s="4" t="s">
        <v>531</v>
      </c>
      <c r="B31" s="4" t="s">
        <v>532</v>
      </c>
      <c r="C31" s="4" t="s">
        <v>661</v>
      </c>
      <c r="D31" s="4" t="s">
        <v>662</v>
      </c>
      <c r="E31" s="4">
        <v>0</v>
      </c>
      <c r="F31" s="4">
        <v>0</v>
      </c>
      <c r="G31" s="4">
        <v>4</v>
      </c>
      <c r="H31">
        <f t="shared" si="0"/>
        <v>4</v>
      </c>
    </row>
    <row r="32" spans="1:8" x14ac:dyDescent="0.25">
      <c r="A32" s="4" t="s">
        <v>533</v>
      </c>
      <c r="B32" s="4" t="s">
        <v>534</v>
      </c>
      <c r="C32" s="4" t="s">
        <v>627</v>
      </c>
      <c r="D32" s="4" t="s">
        <v>628</v>
      </c>
      <c r="E32" s="4">
        <v>1</v>
      </c>
      <c r="F32" s="4">
        <v>0</v>
      </c>
      <c r="G32" s="4">
        <v>0</v>
      </c>
      <c r="H32">
        <f t="shared" si="0"/>
        <v>1</v>
      </c>
    </row>
    <row r="33" spans="1:8" x14ac:dyDescent="0.25">
      <c r="A33" s="4" t="s">
        <v>533</v>
      </c>
      <c r="B33" s="4" t="s">
        <v>534</v>
      </c>
      <c r="C33" s="4" t="s">
        <v>629</v>
      </c>
      <c r="D33" s="4" t="s">
        <v>630</v>
      </c>
      <c r="E33" s="4">
        <v>3</v>
      </c>
      <c r="F33" s="4">
        <v>1</v>
      </c>
      <c r="G33" s="4">
        <v>0</v>
      </c>
      <c r="H33">
        <f t="shared" si="0"/>
        <v>4</v>
      </c>
    </row>
    <row r="34" spans="1:8" x14ac:dyDescent="0.25">
      <c r="A34" s="4" t="s">
        <v>533</v>
      </c>
      <c r="B34" s="4" t="s">
        <v>534</v>
      </c>
      <c r="C34" s="4" t="s">
        <v>655</v>
      </c>
      <c r="D34" s="4" t="s">
        <v>656</v>
      </c>
      <c r="E34" s="4">
        <v>2</v>
      </c>
      <c r="F34" s="4">
        <v>1</v>
      </c>
      <c r="G34" s="4">
        <v>2</v>
      </c>
      <c r="H34">
        <f t="shared" si="0"/>
        <v>5</v>
      </c>
    </row>
    <row r="35" spans="1:8" x14ac:dyDescent="0.25">
      <c r="A35" s="4" t="s">
        <v>533</v>
      </c>
      <c r="B35" s="4" t="s">
        <v>534</v>
      </c>
      <c r="C35" s="4" t="s">
        <v>653</v>
      </c>
      <c r="D35" s="4" t="s">
        <v>654</v>
      </c>
      <c r="E35" s="4">
        <v>0</v>
      </c>
      <c r="F35" s="4">
        <v>0</v>
      </c>
      <c r="G35" s="4">
        <v>2</v>
      </c>
      <c r="H35">
        <f t="shared" si="0"/>
        <v>2</v>
      </c>
    </row>
    <row r="36" spans="1:8" x14ac:dyDescent="0.25">
      <c r="A36" s="4" t="s">
        <v>533</v>
      </c>
      <c r="B36" s="4" t="s">
        <v>534</v>
      </c>
      <c r="C36" s="4" t="s">
        <v>639</v>
      </c>
      <c r="D36" s="4" t="s">
        <v>640</v>
      </c>
      <c r="E36" s="4">
        <v>3</v>
      </c>
      <c r="F36" s="4">
        <v>3</v>
      </c>
      <c r="G36" s="4">
        <v>0</v>
      </c>
      <c r="H36">
        <f t="shared" si="0"/>
        <v>6</v>
      </c>
    </row>
    <row r="37" spans="1:8" x14ac:dyDescent="0.25">
      <c r="A37" s="4" t="s">
        <v>533</v>
      </c>
      <c r="B37" s="4" t="s">
        <v>534</v>
      </c>
      <c r="C37" s="4" t="s">
        <v>657</v>
      </c>
      <c r="D37" s="4" t="s">
        <v>658</v>
      </c>
      <c r="E37" s="4">
        <v>1</v>
      </c>
      <c r="F37" s="4">
        <v>2</v>
      </c>
      <c r="G37" s="4">
        <v>0</v>
      </c>
      <c r="H37">
        <f t="shared" si="0"/>
        <v>3</v>
      </c>
    </row>
    <row r="38" spans="1:8" x14ac:dyDescent="0.25">
      <c r="A38" s="4" t="s">
        <v>533</v>
      </c>
      <c r="B38" s="4" t="s">
        <v>534</v>
      </c>
      <c r="C38" s="4" t="s">
        <v>637</v>
      </c>
      <c r="D38" s="4" t="s">
        <v>638</v>
      </c>
      <c r="E38" s="4">
        <v>0</v>
      </c>
      <c r="F38" s="4">
        <v>4</v>
      </c>
      <c r="G38" s="4">
        <v>1</v>
      </c>
      <c r="H38">
        <f t="shared" si="0"/>
        <v>5</v>
      </c>
    </row>
    <row r="39" spans="1:8" x14ac:dyDescent="0.25">
      <c r="A39" s="4" t="s">
        <v>533</v>
      </c>
      <c r="B39" s="4" t="s">
        <v>534</v>
      </c>
      <c r="C39" s="4" t="s">
        <v>635</v>
      </c>
      <c r="D39" s="4" t="s">
        <v>636</v>
      </c>
      <c r="E39" s="4">
        <v>7</v>
      </c>
      <c r="F39" s="4">
        <v>0</v>
      </c>
      <c r="G39" s="4">
        <v>0</v>
      </c>
      <c r="H39">
        <f t="shared" si="0"/>
        <v>7</v>
      </c>
    </row>
    <row r="40" spans="1:8" x14ac:dyDescent="0.25">
      <c r="A40" s="4" t="s">
        <v>533</v>
      </c>
      <c r="B40" s="4" t="s">
        <v>534</v>
      </c>
      <c r="C40" s="4" t="s">
        <v>641</v>
      </c>
      <c r="D40" s="4" t="s">
        <v>642</v>
      </c>
      <c r="E40" s="4">
        <v>2</v>
      </c>
      <c r="F40" s="4">
        <v>2</v>
      </c>
      <c r="G40" s="4">
        <v>1</v>
      </c>
      <c r="H40">
        <f t="shared" si="0"/>
        <v>5</v>
      </c>
    </row>
    <row r="41" spans="1:8" x14ac:dyDescent="0.25">
      <c r="A41" s="4" t="s">
        <v>533</v>
      </c>
      <c r="B41" s="4" t="s">
        <v>534</v>
      </c>
      <c r="C41" s="4" t="s">
        <v>647</v>
      </c>
      <c r="D41" s="4" t="s">
        <v>648</v>
      </c>
      <c r="E41" s="4">
        <v>3</v>
      </c>
      <c r="F41" s="4">
        <v>3</v>
      </c>
      <c r="G41" s="4">
        <v>2</v>
      </c>
      <c r="H41">
        <f t="shared" si="0"/>
        <v>8</v>
      </c>
    </row>
    <row r="42" spans="1:8" x14ac:dyDescent="0.25">
      <c r="A42" s="4" t="s">
        <v>533</v>
      </c>
      <c r="B42" s="4" t="s">
        <v>534</v>
      </c>
      <c r="C42" s="4" t="s">
        <v>651</v>
      </c>
      <c r="D42" s="4" t="s">
        <v>652</v>
      </c>
      <c r="E42" s="4">
        <v>0</v>
      </c>
      <c r="F42" s="4">
        <v>0</v>
      </c>
      <c r="G42" s="4">
        <v>4</v>
      </c>
      <c r="H42">
        <f t="shared" si="0"/>
        <v>4</v>
      </c>
    </row>
    <row r="43" spans="1:8" x14ac:dyDescent="0.25">
      <c r="A43" s="4" t="s">
        <v>533</v>
      </c>
      <c r="B43" s="4" t="s">
        <v>534</v>
      </c>
      <c r="C43" s="4" t="s">
        <v>661</v>
      </c>
      <c r="D43" s="4" t="s">
        <v>662</v>
      </c>
      <c r="E43" s="4">
        <v>2</v>
      </c>
      <c r="F43" s="4">
        <v>2</v>
      </c>
      <c r="G43" s="4">
        <v>0</v>
      </c>
      <c r="H43">
        <f t="shared" si="0"/>
        <v>4</v>
      </c>
    </row>
    <row r="44" spans="1:8" x14ac:dyDescent="0.25">
      <c r="A44" s="4" t="s">
        <v>535</v>
      </c>
      <c r="B44" s="4" t="s">
        <v>536</v>
      </c>
      <c r="C44" s="4" t="s">
        <v>627</v>
      </c>
      <c r="D44" s="4" t="s">
        <v>628</v>
      </c>
      <c r="E44" s="4">
        <v>2</v>
      </c>
      <c r="F44" s="4">
        <v>0</v>
      </c>
      <c r="G44" s="4">
        <v>0</v>
      </c>
      <c r="H44">
        <f t="shared" si="0"/>
        <v>2</v>
      </c>
    </row>
    <row r="45" spans="1:8" x14ac:dyDescent="0.25">
      <c r="A45" s="4" t="s">
        <v>535</v>
      </c>
      <c r="B45" s="4" t="s">
        <v>536</v>
      </c>
      <c r="C45" s="4" t="s">
        <v>629</v>
      </c>
      <c r="D45" s="4" t="s">
        <v>630</v>
      </c>
      <c r="E45" s="4">
        <v>2</v>
      </c>
      <c r="F45" s="4">
        <v>2</v>
      </c>
      <c r="G45" s="4">
        <v>0</v>
      </c>
      <c r="H45">
        <f t="shared" si="0"/>
        <v>4</v>
      </c>
    </row>
    <row r="46" spans="1:8" x14ac:dyDescent="0.25">
      <c r="A46" s="4" t="s">
        <v>535</v>
      </c>
      <c r="B46" s="4" t="s">
        <v>536</v>
      </c>
      <c r="C46" s="4" t="s">
        <v>655</v>
      </c>
      <c r="D46" s="4" t="s">
        <v>656</v>
      </c>
      <c r="E46" s="4">
        <v>1</v>
      </c>
      <c r="F46" s="4">
        <v>4</v>
      </c>
      <c r="G46" s="4">
        <v>1</v>
      </c>
      <c r="H46">
        <f t="shared" si="0"/>
        <v>6</v>
      </c>
    </row>
    <row r="47" spans="1:8" x14ac:dyDescent="0.25">
      <c r="A47" s="4" t="s">
        <v>535</v>
      </c>
      <c r="B47" s="4" t="s">
        <v>536</v>
      </c>
      <c r="C47" s="4" t="s">
        <v>653</v>
      </c>
      <c r="D47" s="4" t="s">
        <v>654</v>
      </c>
      <c r="E47" s="4">
        <v>1</v>
      </c>
      <c r="F47" s="4">
        <v>0</v>
      </c>
      <c r="G47" s="4">
        <v>1</v>
      </c>
      <c r="H47">
        <f t="shared" si="0"/>
        <v>2</v>
      </c>
    </row>
    <row r="48" spans="1:8" x14ac:dyDescent="0.25">
      <c r="A48" s="4" t="s">
        <v>535</v>
      </c>
      <c r="B48" s="4" t="s">
        <v>536</v>
      </c>
      <c r="C48" s="4" t="s">
        <v>639</v>
      </c>
      <c r="D48" s="4" t="s">
        <v>640</v>
      </c>
      <c r="E48" s="4">
        <v>1</v>
      </c>
      <c r="F48" s="4">
        <v>5</v>
      </c>
      <c r="G48" s="4">
        <v>0</v>
      </c>
      <c r="H48">
        <f t="shared" si="0"/>
        <v>6</v>
      </c>
    </row>
    <row r="49" spans="1:8" x14ac:dyDescent="0.25">
      <c r="A49" s="4" t="s">
        <v>535</v>
      </c>
      <c r="B49" s="4" t="s">
        <v>536</v>
      </c>
      <c r="C49" s="4" t="s">
        <v>657</v>
      </c>
      <c r="D49" s="4" t="s">
        <v>658</v>
      </c>
      <c r="E49" s="4">
        <v>0</v>
      </c>
      <c r="F49" s="4">
        <v>1</v>
      </c>
      <c r="G49" s="4">
        <v>0</v>
      </c>
      <c r="H49">
        <f t="shared" si="0"/>
        <v>1</v>
      </c>
    </row>
    <row r="50" spans="1:8" x14ac:dyDescent="0.25">
      <c r="A50" s="4" t="s">
        <v>535</v>
      </c>
      <c r="B50" s="4" t="s">
        <v>536</v>
      </c>
      <c r="C50" s="4" t="s">
        <v>637</v>
      </c>
      <c r="D50" s="4" t="s">
        <v>638</v>
      </c>
      <c r="E50" s="4">
        <v>0</v>
      </c>
      <c r="F50" s="4">
        <v>6</v>
      </c>
      <c r="G50" s="4">
        <v>0</v>
      </c>
      <c r="H50">
        <f t="shared" si="0"/>
        <v>6</v>
      </c>
    </row>
    <row r="51" spans="1:8" x14ac:dyDescent="0.25">
      <c r="A51" s="4" t="s">
        <v>535</v>
      </c>
      <c r="B51" s="4" t="s">
        <v>536</v>
      </c>
      <c r="C51" s="4" t="s">
        <v>635</v>
      </c>
      <c r="D51" s="4" t="s">
        <v>636</v>
      </c>
      <c r="E51" s="4">
        <v>8</v>
      </c>
      <c r="F51" s="4">
        <v>0</v>
      </c>
      <c r="G51" s="4">
        <v>0</v>
      </c>
      <c r="H51">
        <f t="shared" si="0"/>
        <v>8</v>
      </c>
    </row>
    <row r="52" spans="1:8" x14ac:dyDescent="0.25">
      <c r="A52" s="4" t="s">
        <v>535</v>
      </c>
      <c r="B52" s="4" t="s">
        <v>536</v>
      </c>
      <c r="C52" s="4" t="s">
        <v>641</v>
      </c>
      <c r="D52" s="4" t="s">
        <v>642</v>
      </c>
      <c r="E52" s="4">
        <v>3</v>
      </c>
      <c r="F52" s="4">
        <v>2</v>
      </c>
      <c r="G52" s="4">
        <v>0</v>
      </c>
      <c r="H52">
        <f t="shared" si="0"/>
        <v>5</v>
      </c>
    </row>
    <row r="53" spans="1:8" x14ac:dyDescent="0.25">
      <c r="A53" s="4" t="s">
        <v>535</v>
      </c>
      <c r="B53" s="4" t="s">
        <v>536</v>
      </c>
      <c r="C53" s="4" t="s">
        <v>647</v>
      </c>
      <c r="D53" s="4" t="s">
        <v>648</v>
      </c>
      <c r="E53" s="4">
        <v>2</v>
      </c>
      <c r="F53" s="4">
        <v>4</v>
      </c>
      <c r="G53" s="4">
        <v>2</v>
      </c>
      <c r="H53">
        <f t="shared" si="0"/>
        <v>8</v>
      </c>
    </row>
    <row r="54" spans="1:8" x14ac:dyDescent="0.25">
      <c r="A54" s="4" t="s">
        <v>535</v>
      </c>
      <c r="B54" s="4" t="s">
        <v>536</v>
      </c>
      <c r="C54" s="4" t="s">
        <v>651</v>
      </c>
      <c r="D54" s="4" t="s">
        <v>652</v>
      </c>
      <c r="E54" s="4">
        <v>1</v>
      </c>
      <c r="F54" s="4">
        <v>0</v>
      </c>
      <c r="G54" s="4">
        <v>4</v>
      </c>
      <c r="H54">
        <f t="shared" si="0"/>
        <v>5</v>
      </c>
    </row>
    <row r="55" spans="1:8" x14ac:dyDescent="0.25">
      <c r="A55" s="4" t="s">
        <v>535</v>
      </c>
      <c r="B55" s="4" t="s">
        <v>536</v>
      </c>
      <c r="C55" s="4" t="s">
        <v>661</v>
      </c>
      <c r="D55" s="4" t="s">
        <v>662</v>
      </c>
      <c r="E55" s="4">
        <v>0</v>
      </c>
      <c r="F55" s="4">
        <v>4</v>
      </c>
      <c r="G55" s="4">
        <v>0</v>
      </c>
      <c r="H55">
        <f t="shared" si="0"/>
        <v>4</v>
      </c>
    </row>
    <row r="56" spans="1:8" x14ac:dyDescent="0.25">
      <c r="A56" s="4" t="s">
        <v>537</v>
      </c>
      <c r="B56" s="4" t="s">
        <v>538</v>
      </c>
      <c r="C56" s="4" t="s">
        <v>627</v>
      </c>
      <c r="D56" s="4" t="s">
        <v>628</v>
      </c>
      <c r="E56" s="4">
        <v>1</v>
      </c>
      <c r="F56" s="4">
        <v>0</v>
      </c>
      <c r="G56" s="4">
        <v>0</v>
      </c>
      <c r="H56">
        <f t="shared" si="0"/>
        <v>1</v>
      </c>
    </row>
    <row r="57" spans="1:8" x14ac:dyDescent="0.25">
      <c r="A57" s="4" t="s">
        <v>537</v>
      </c>
      <c r="B57" s="4" t="s">
        <v>538</v>
      </c>
      <c r="C57" s="4" t="s">
        <v>629</v>
      </c>
      <c r="D57" s="4" t="s">
        <v>630</v>
      </c>
      <c r="E57" s="4">
        <v>2</v>
      </c>
      <c r="F57" s="4">
        <v>0</v>
      </c>
      <c r="G57" s="4">
        <v>1</v>
      </c>
      <c r="H57">
        <f t="shared" si="0"/>
        <v>3</v>
      </c>
    </row>
    <row r="58" spans="1:8" x14ac:dyDescent="0.25">
      <c r="A58" s="4" t="s">
        <v>537</v>
      </c>
      <c r="B58" s="4" t="s">
        <v>538</v>
      </c>
      <c r="C58" s="4" t="s">
        <v>655</v>
      </c>
      <c r="D58" s="4" t="s">
        <v>656</v>
      </c>
      <c r="E58" s="4">
        <v>0</v>
      </c>
      <c r="F58" s="4">
        <v>6</v>
      </c>
      <c r="G58" s="4">
        <v>0</v>
      </c>
      <c r="H58">
        <f t="shared" si="0"/>
        <v>6</v>
      </c>
    </row>
    <row r="59" spans="1:8" x14ac:dyDescent="0.25">
      <c r="A59" s="4" t="s">
        <v>537</v>
      </c>
      <c r="B59" s="4" t="s">
        <v>538</v>
      </c>
      <c r="C59" s="4" t="s">
        <v>653</v>
      </c>
      <c r="D59" s="4" t="s">
        <v>654</v>
      </c>
      <c r="E59" s="4">
        <v>0</v>
      </c>
      <c r="F59" s="4">
        <v>5</v>
      </c>
      <c r="G59" s="4">
        <v>0</v>
      </c>
      <c r="H59">
        <f t="shared" si="0"/>
        <v>5</v>
      </c>
    </row>
    <row r="60" spans="1:8" x14ac:dyDescent="0.25">
      <c r="A60" s="4" t="s">
        <v>537</v>
      </c>
      <c r="B60" s="4" t="s">
        <v>538</v>
      </c>
      <c r="C60" s="4" t="s">
        <v>639</v>
      </c>
      <c r="D60" s="4" t="s">
        <v>640</v>
      </c>
      <c r="E60" s="4">
        <v>0</v>
      </c>
      <c r="F60" s="4">
        <v>6</v>
      </c>
      <c r="G60" s="4">
        <v>0</v>
      </c>
      <c r="H60">
        <f t="shared" si="0"/>
        <v>6</v>
      </c>
    </row>
    <row r="61" spans="1:8" x14ac:dyDescent="0.25">
      <c r="A61" s="4" t="s">
        <v>537</v>
      </c>
      <c r="B61" s="4" t="s">
        <v>538</v>
      </c>
      <c r="C61" s="4" t="s">
        <v>657</v>
      </c>
      <c r="D61" s="4" t="s">
        <v>658</v>
      </c>
      <c r="E61" s="4">
        <v>0</v>
      </c>
      <c r="F61" s="4">
        <v>5</v>
      </c>
      <c r="G61" s="4">
        <v>0</v>
      </c>
      <c r="H61">
        <f t="shared" si="0"/>
        <v>5</v>
      </c>
    </row>
    <row r="62" spans="1:8" x14ac:dyDescent="0.25">
      <c r="A62" s="4" t="s">
        <v>537</v>
      </c>
      <c r="B62" s="4" t="s">
        <v>538</v>
      </c>
      <c r="C62" s="4" t="s">
        <v>637</v>
      </c>
      <c r="D62" s="4" t="s">
        <v>638</v>
      </c>
      <c r="E62" s="4">
        <v>0</v>
      </c>
      <c r="F62" s="4">
        <v>6</v>
      </c>
      <c r="G62" s="4">
        <v>0</v>
      </c>
      <c r="H62">
        <f t="shared" si="0"/>
        <v>6</v>
      </c>
    </row>
    <row r="63" spans="1:8" x14ac:dyDescent="0.25">
      <c r="A63" s="4" t="s">
        <v>537</v>
      </c>
      <c r="B63" s="4" t="s">
        <v>538</v>
      </c>
      <c r="C63" s="4" t="s">
        <v>641</v>
      </c>
      <c r="D63" s="4" t="s">
        <v>642</v>
      </c>
      <c r="E63" s="4">
        <v>0</v>
      </c>
      <c r="F63" s="4">
        <v>5</v>
      </c>
      <c r="G63" s="4">
        <v>0</v>
      </c>
      <c r="H63">
        <f t="shared" si="0"/>
        <v>5</v>
      </c>
    </row>
    <row r="64" spans="1:8" x14ac:dyDescent="0.25">
      <c r="A64" s="4" t="s">
        <v>537</v>
      </c>
      <c r="B64" s="4" t="s">
        <v>538</v>
      </c>
      <c r="C64" s="4" t="s">
        <v>647</v>
      </c>
      <c r="D64" s="4" t="s">
        <v>648</v>
      </c>
      <c r="E64" s="4">
        <v>8</v>
      </c>
      <c r="F64" s="4">
        <v>0</v>
      </c>
      <c r="G64" s="4">
        <v>0</v>
      </c>
      <c r="H64">
        <f t="shared" si="0"/>
        <v>8</v>
      </c>
    </row>
    <row r="65" spans="1:8" x14ac:dyDescent="0.25">
      <c r="A65" s="4" t="s">
        <v>537</v>
      </c>
      <c r="B65" s="4" t="s">
        <v>538</v>
      </c>
      <c r="C65" s="4" t="s">
        <v>651</v>
      </c>
      <c r="D65" s="4" t="s">
        <v>652</v>
      </c>
      <c r="E65" s="4">
        <v>0</v>
      </c>
      <c r="F65" s="4">
        <v>5</v>
      </c>
      <c r="G65" s="4">
        <v>0</v>
      </c>
      <c r="H65">
        <f t="shared" si="0"/>
        <v>5</v>
      </c>
    </row>
    <row r="66" spans="1:8" x14ac:dyDescent="0.25">
      <c r="A66" s="4" t="s">
        <v>537</v>
      </c>
      <c r="B66" s="4" t="s">
        <v>538</v>
      </c>
      <c r="C66" s="4" t="s">
        <v>661</v>
      </c>
      <c r="D66" s="4" t="s">
        <v>662</v>
      </c>
      <c r="E66" s="4">
        <v>0</v>
      </c>
      <c r="F66" s="4">
        <v>0</v>
      </c>
      <c r="G66" s="4">
        <v>4</v>
      </c>
      <c r="H66">
        <f t="shared" si="0"/>
        <v>4</v>
      </c>
    </row>
    <row r="67" spans="1:8" x14ac:dyDescent="0.25">
      <c r="A67" s="4" t="s">
        <v>539</v>
      </c>
      <c r="B67" s="4" t="s">
        <v>540</v>
      </c>
      <c r="C67" s="4" t="s">
        <v>627</v>
      </c>
      <c r="D67" s="4" t="s">
        <v>628</v>
      </c>
      <c r="E67" s="4">
        <v>1</v>
      </c>
      <c r="F67" s="4">
        <v>0</v>
      </c>
      <c r="G67" s="4">
        <v>0</v>
      </c>
      <c r="H67">
        <f t="shared" si="0"/>
        <v>1</v>
      </c>
    </row>
    <row r="68" spans="1:8" x14ac:dyDescent="0.25">
      <c r="A68" s="4" t="s">
        <v>539</v>
      </c>
      <c r="B68" s="4" t="s">
        <v>540</v>
      </c>
      <c r="C68" s="4" t="s">
        <v>629</v>
      </c>
      <c r="D68" s="4" t="s">
        <v>630</v>
      </c>
      <c r="E68" s="4">
        <v>0</v>
      </c>
      <c r="F68" s="4">
        <v>2</v>
      </c>
      <c r="G68" s="4">
        <v>1</v>
      </c>
      <c r="H68">
        <f t="shared" si="0"/>
        <v>3</v>
      </c>
    </row>
    <row r="69" spans="1:8" x14ac:dyDescent="0.25">
      <c r="A69" s="4" t="s">
        <v>539</v>
      </c>
      <c r="B69" s="4" t="s">
        <v>540</v>
      </c>
      <c r="C69" s="4" t="s">
        <v>655</v>
      </c>
      <c r="D69" s="4" t="s">
        <v>656</v>
      </c>
      <c r="E69" s="4">
        <v>0</v>
      </c>
      <c r="F69" s="4">
        <v>2</v>
      </c>
      <c r="G69" s="4">
        <v>0</v>
      </c>
      <c r="H69">
        <f t="shared" ref="H69:H132" si="1">SUM(E69:G69)</f>
        <v>2</v>
      </c>
    </row>
    <row r="70" spans="1:8" x14ac:dyDescent="0.25">
      <c r="A70" s="4" t="s">
        <v>539</v>
      </c>
      <c r="B70" s="4" t="s">
        <v>540</v>
      </c>
      <c r="C70" s="4" t="s">
        <v>653</v>
      </c>
      <c r="D70" s="4" t="s">
        <v>654</v>
      </c>
      <c r="E70" s="4">
        <v>0</v>
      </c>
      <c r="F70" s="4">
        <v>0</v>
      </c>
      <c r="G70" s="4">
        <v>5</v>
      </c>
      <c r="H70">
        <f t="shared" si="1"/>
        <v>5</v>
      </c>
    </row>
    <row r="71" spans="1:8" x14ac:dyDescent="0.25">
      <c r="A71" s="4" t="s">
        <v>539</v>
      </c>
      <c r="B71" s="4" t="s">
        <v>540</v>
      </c>
      <c r="C71" s="4" t="s">
        <v>639</v>
      </c>
      <c r="D71" s="4" t="s">
        <v>640</v>
      </c>
      <c r="E71" s="4">
        <v>0</v>
      </c>
      <c r="F71" s="4">
        <v>2</v>
      </c>
      <c r="G71" s="4">
        <v>4</v>
      </c>
      <c r="H71">
        <f t="shared" si="1"/>
        <v>6</v>
      </c>
    </row>
    <row r="72" spans="1:8" x14ac:dyDescent="0.25">
      <c r="A72" s="4" t="s">
        <v>539</v>
      </c>
      <c r="B72" s="4" t="s">
        <v>540</v>
      </c>
      <c r="C72" s="4" t="s">
        <v>635</v>
      </c>
      <c r="D72" s="4" t="s">
        <v>636</v>
      </c>
      <c r="E72" s="4">
        <v>0</v>
      </c>
      <c r="F72" s="4">
        <v>0</v>
      </c>
      <c r="G72" s="4">
        <v>6</v>
      </c>
      <c r="H72">
        <f t="shared" si="1"/>
        <v>6</v>
      </c>
    </row>
    <row r="73" spans="1:8" x14ac:dyDescent="0.25">
      <c r="A73" s="4" t="s">
        <v>539</v>
      </c>
      <c r="B73" s="4" t="s">
        <v>540</v>
      </c>
      <c r="C73" s="4" t="s">
        <v>641</v>
      </c>
      <c r="D73" s="4" t="s">
        <v>642</v>
      </c>
      <c r="E73" s="4">
        <v>0</v>
      </c>
      <c r="F73" s="4">
        <v>1</v>
      </c>
      <c r="G73" s="4">
        <v>4</v>
      </c>
      <c r="H73">
        <f t="shared" si="1"/>
        <v>5</v>
      </c>
    </row>
    <row r="74" spans="1:8" x14ac:dyDescent="0.25">
      <c r="A74" s="4" t="s">
        <v>539</v>
      </c>
      <c r="B74" s="4" t="s">
        <v>540</v>
      </c>
      <c r="C74" s="4" t="s">
        <v>647</v>
      </c>
      <c r="D74" s="4" t="s">
        <v>648</v>
      </c>
      <c r="E74" s="4">
        <v>1</v>
      </c>
      <c r="F74" s="4">
        <v>1</v>
      </c>
      <c r="G74" s="4">
        <v>6</v>
      </c>
      <c r="H74">
        <f t="shared" si="1"/>
        <v>8</v>
      </c>
    </row>
    <row r="75" spans="1:8" x14ac:dyDescent="0.25">
      <c r="A75" s="4" t="s">
        <v>539</v>
      </c>
      <c r="B75" s="4" t="s">
        <v>540</v>
      </c>
      <c r="C75" s="4" t="s">
        <v>651</v>
      </c>
      <c r="D75" s="4" t="s">
        <v>652</v>
      </c>
      <c r="E75" s="4">
        <v>0</v>
      </c>
      <c r="F75" s="4">
        <v>2</v>
      </c>
      <c r="G75" s="4">
        <v>3</v>
      </c>
      <c r="H75">
        <f t="shared" si="1"/>
        <v>5</v>
      </c>
    </row>
    <row r="76" spans="1:8" x14ac:dyDescent="0.25">
      <c r="A76" s="4" t="s">
        <v>539</v>
      </c>
      <c r="B76" s="4" t="s">
        <v>540</v>
      </c>
      <c r="C76" s="4" t="s">
        <v>661</v>
      </c>
      <c r="D76" s="4" t="s">
        <v>662</v>
      </c>
      <c r="E76" s="4">
        <v>0</v>
      </c>
      <c r="F76" s="4">
        <v>1</v>
      </c>
      <c r="G76" s="4">
        <v>2</v>
      </c>
      <c r="H76">
        <f t="shared" si="1"/>
        <v>3</v>
      </c>
    </row>
    <row r="77" spans="1:8" x14ac:dyDescent="0.25">
      <c r="A77" s="4" t="s">
        <v>539</v>
      </c>
      <c r="B77" s="4" t="s">
        <v>540</v>
      </c>
      <c r="C77" s="4" t="s">
        <v>643</v>
      </c>
      <c r="D77" s="4" t="s">
        <v>644</v>
      </c>
      <c r="E77" s="4">
        <v>0</v>
      </c>
      <c r="F77" s="4">
        <v>2</v>
      </c>
      <c r="G77" s="4">
        <v>3</v>
      </c>
      <c r="H77">
        <f t="shared" si="1"/>
        <v>5</v>
      </c>
    </row>
    <row r="78" spans="1:8" x14ac:dyDescent="0.25">
      <c r="A78" s="4" t="s">
        <v>541</v>
      </c>
      <c r="B78" s="4" t="s">
        <v>542</v>
      </c>
      <c r="C78" s="4" t="s">
        <v>627</v>
      </c>
      <c r="D78" s="4" t="s">
        <v>628</v>
      </c>
      <c r="E78" s="4">
        <v>2</v>
      </c>
      <c r="F78" s="4">
        <v>0</v>
      </c>
      <c r="G78" s="4">
        <v>1</v>
      </c>
      <c r="H78">
        <f t="shared" si="1"/>
        <v>3</v>
      </c>
    </row>
    <row r="79" spans="1:8" x14ac:dyDescent="0.25">
      <c r="A79" s="4" t="s">
        <v>541</v>
      </c>
      <c r="B79" s="4" t="s">
        <v>542</v>
      </c>
      <c r="C79" s="4" t="s">
        <v>663</v>
      </c>
      <c r="D79" s="4" t="s">
        <v>664</v>
      </c>
      <c r="E79" s="4">
        <v>1</v>
      </c>
      <c r="F79" s="4">
        <v>4</v>
      </c>
      <c r="G79" s="4">
        <v>0</v>
      </c>
      <c r="H79">
        <f t="shared" si="1"/>
        <v>5</v>
      </c>
    </row>
    <row r="80" spans="1:8" x14ac:dyDescent="0.25">
      <c r="A80" s="4" t="s">
        <v>541</v>
      </c>
      <c r="B80" s="4" t="s">
        <v>542</v>
      </c>
      <c r="C80" s="4" t="s">
        <v>665</v>
      </c>
      <c r="D80" s="4" t="s">
        <v>666</v>
      </c>
      <c r="E80" s="4">
        <v>0</v>
      </c>
      <c r="F80" s="4">
        <v>0</v>
      </c>
      <c r="G80" s="4">
        <v>5</v>
      </c>
      <c r="H80">
        <f t="shared" si="1"/>
        <v>5</v>
      </c>
    </row>
    <row r="81" spans="1:8" x14ac:dyDescent="0.25">
      <c r="A81" s="4" t="s">
        <v>541</v>
      </c>
      <c r="B81" s="4" t="s">
        <v>542</v>
      </c>
      <c r="C81" s="4" t="s">
        <v>647</v>
      </c>
      <c r="D81" s="4" t="s">
        <v>648</v>
      </c>
      <c r="E81" s="4">
        <v>5</v>
      </c>
      <c r="F81" s="4">
        <v>0</v>
      </c>
      <c r="G81" s="4">
        <v>0</v>
      </c>
      <c r="H81">
        <f t="shared" si="1"/>
        <v>5</v>
      </c>
    </row>
    <row r="82" spans="1:8" x14ac:dyDescent="0.25">
      <c r="A82" s="4" t="s">
        <v>541</v>
      </c>
      <c r="B82" s="4" t="s">
        <v>542</v>
      </c>
      <c r="C82" s="4" t="s">
        <v>667</v>
      </c>
      <c r="D82" s="4" t="s">
        <v>668</v>
      </c>
      <c r="E82" s="4">
        <v>6</v>
      </c>
      <c r="F82" s="4">
        <v>0</v>
      </c>
      <c r="G82" s="4">
        <v>0</v>
      </c>
      <c r="H82">
        <f t="shared" si="1"/>
        <v>6</v>
      </c>
    </row>
    <row r="83" spans="1:8" x14ac:dyDescent="0.25">
      <c r="A83" s="4" t="s">
        <v>541</v>
      </c>
      <c r="B83" s="4" t="s">
        <v>542</v>
      </c>
      <c r="C83" s="4" t="s">
        <v>669</v>
      </c>
      <c r="D83" s="4" t="s">
        <v>670</v>
      </c>
      <c r="E83" s="4">
        <v>0</v>
      </c>
      <c r="F83" s="4">
        <v>7</v>
      </c>
      <c r="G83" s="4">
        <v>0</v>
      </c>
      <c r="H83">
        <f t="shared" si="1"/>
        <v>7</v>
      </c>
    </row>
    <row r="84" spans="1:8" x14ac:dyDescent="0.25">
      <c r="A84" s="4" t="s">
        <v>543</v>
      </c>
      <c r="B84" s="4" t="s">
        <v>544</v>
      </c>
      <c r="C84" s="4" t="s">
        <v>671</v>
      </c>
      <c r="D84" s="4" t="s">
        <v>672</v>
      </c>
      <c r="E84" s="4">
        <v>4</v>
      </c>
      <c r="F84" s="4">
        <v>0</v>
      </c>
      <c r="G84" s="4">
        <v>0</v>
      </c>
      <c r="H84">
        <f t="shared" si="1"/>
        <v>4</v>
      </c>
    </row>
    <row r="85" spans="1:8" x14ac:dyDescent="0.25">
      <c r="A85" s="4" t="s">
        <v>543</v>
      </c>
      <c r="B85" s="4" t="s">
        <v>544</v>
      </c>
      <c r="C85" s="4" t="s">
        <v>673</v>
      </c>
      <c r="D85" s="4" t="s">
        <v>674</v>
      </c>
      <c r="E85" s="4">
        <v>1</v>
      </c>
      <c r="F85" s="4">
        <v>1</v>
      </c>
      <c r="G85" s="4">
        <v>0</v>
      </c>
      <c r="H85">
        <f t="shared" si="1"/>
        <v>2</v>
      </c>
    </row>
    <row r="86" spans="1:8" x14ac:dyDescent="0.25">
      <c r="A86" s="4" t="s">
        <v>543</v>
      </c>
      <c r="B86" s="4" t="s">
        <v>544</v>
      </c>
      <c r="C86" s="4" t="s">
        <v>675</v>
      </c>
      <c r="D86" s="4" t="s">
        <v>676</v>
      </c>
      <c r="E86" s="4">
        <v>3</v>
      </c>
      <c r="F86" s="4">
        <v>0</v>
      </c>
      <c r="G86" s="4">
        <v>0</v>
      </c>
      <c r="H86">
        <f t="shared" si="1"/>
        <v>3</v>
      </c>
    </row>
    <row r="87" spans="1:8" x14ac:dyDescent="0.25">
      <c r="A87" s="4" t="s">
        <v>543</v>
      </c>
      <c r="B87" s="4" t="s">
        <v>544</v>
      </c>
      <c r="C87" s="4" t="s">
        <v>677</v>
      </c>
      <c r="D87" s="4" t="s">
        <v>678</v>
      </c>
      <c r="E87" s="4">
        <v>2</v>
      </c>
      <c r="F87" s="4">
        <v>0</v>
      </c>
      <c r="G87" s="4">
        <v>0</v>
      </c>
      <c r="H87">
        <f t="shared" si="1"/>
        <v>2</v>
      </c>
    </row>
    <row r="88" spans="1:8" x14ac:dyDescent="0.25">
      <c r="A88" s="4" t="s">
        <v>545</v>
      </c>
      <c r="B88" s="4" t="s">
        <v>546</v>
      </c>
      <c r="C88" s="4" t="s">
        <v>679</v>
      </c>
      <c r="D88" s="4" t="s">
        <v>680</v>
      </c>
      <c r="E88" s="4">
        <v>2</v>
      </c>
      <c r="F88" s="4">
        <v>1</v>
      </c>
      <c r="G88" s="4">
        <v>0</v>
      </c>
      <c r="H88">
        <f t="shared" si="1"/>
        <v>3</v>
      </c>
    </row>
    <row r="89" spans="1:8" x14ac:dyDescent="0.25">
      <c r="A89" s="4" t="s">
        <v>545</v>
      </c>
      <c r="B89" s="4" t="s">
        <v>546</v>
      </c>
      <c r="C89" s="4" t="s">
        <v>681</v>
      </c>
      <c r="D89" s="4" t="s">
        <v>682</v>
      </c>
      <c r="E89" s="4">
        <v>4</v>
      </c>
      <c r="F89" s="4">
        <v>0</v>
      </c>
      <c r="G89" s="4">
        <v>0</v>
      </c>
      <c r="H89">
        <f t="shared" si="1"/>
        <v>4</v>
      </c>
    </row>
    <row r="90" spans="1:8" x14ac:dyDescent="0.25">
      <c r="A90" s="4" t="s">
        <v>545</v>
      </c>
      <c r="B90" s="4" t="s">
        <v>546</v>
      </c>
      <c r="C90" s="4" t="s">
        <v>683</v>
      </c>
      <c r="D90" s="4" t="s">
        <v>684</v>
      </c>
      <c r="E90" s="4">
        <v>2</v>
      </c>
      <c r="F90" s="4">
        <v>6</v>
      </c>
      <c r="G90" s="4">
        <v>0</v>
      </c>
      <c r="H90">
        <f t="shared" si="1"/>
        <v>8</v>
      </c>
    </row>
    <row r="91" spans="1:8" x14ac:dyDescent="0.25">
      <c r="A91" s="4" t="s">
        <v>545</v>
      </c>
      <c r="B91" s="4" t="s">
        <v>546</v>
      </c>
      <c r="C91" s="4" t="s">
        <v>685</v>
      </c>
      <c r="D91" s="4" t="s">
        <v>686</v>
      </c>
      <c r="E91" s="4">
        <v>0</v>
      </c>
      <c r="F91" s="4">
        <v>2</v>
      </c>
      <c r="G91" s="4">
        <v>0</v>
      </c>
      <c r="H91">
        <f t="shared" si="1"/>
        <v>2</v>
      </c>
    </row>
    <row r="92" spans="1:8" x14ac:dyDescent="0.25">
      <c r="A92" s="4" t="s">
        <v>545</v>
      </c>
      <c r="B92" s="4" t="s">
        <v>546</v>
      </c>
      <c r="C92" s="4" t="s">
        <v>687</v>
      </c>
      <c r="D92" s="4" t="s">
        <v>688</v>
      </c>
      <c r="E92" s="4">
        <v>5</v>
      </c>
      <c r="F92" s="4">
        <v>1</v>
      </c>
      <c r="G92" s="4">
        <v>2</v>
      </c>
      <c r="H92">
        <f t="shared" si="1"/>
        <v>8</v>
      </c>
    </row>
    <row r="93" spans="1:8" x14ac:dyDescent="0.25">
      <c r="A93" s="4" t="s">
        <v>545</v>
      </c>
      <c r="B93" s="4" t="s">
        <v>546</v>
      </c>
      <c r="C93" s="4" t="s">
        <v>689</v>
      </c>
      <c r="D93" s="4" t="s">
        <v>690</v>
      </c>
      <c r="E93" s="4">
        <v>1</v>
      </c>
      <c r="F93" s="4">
        <v>1</v>
      </c>
      <c r="G93" s="4">
        <v>0</v>
      </c>
      <c r="H93">
        <f t="shared" si="1"/>
        <v>2</v>
      </c>
    </row>
    <row r="94" spans="1:8" x14ac:dyDescent="0.25">
      <c r="A94" s="4" t="s">
        <v>545</v>
      </c>
      <c r="B94" s="4" t="s">
        <v>546</v>
      </c>
      <c r="C94" s="4" t="s">
        <v>691</v>
      </c>
      <c r="D94" s="4" t="s">
        <v>692</v>
      </c>
      <c r="E94" s="4">
        <v>2</v>
      </c>
      <c r="F94" s="4">
        <v>2</v>
      </c>
      <c r="G94" s="4">
        <v>3</v>
      </c>
      <c r="H94">
        <f t="shared" si="1"/>
        <v>7</v>
      </c>
    </row>
    <row r="95" spans="1:8" x14ac:dyDescent="0.25">
      <c r="A95" s="4" t="s">
        <v>545</v>
      </c>
      <c r="B95" s="4" t="s">
        <v>546</v>
      </c>
      <c r="C95" s="4" t="s">
        <v>693</v>
      </c>
      <c r="D95" s="4" t="s">
        <v>694</v>
      </c>
      <c r="E95" s="4">
        <v>1</v>
      </c>
      <c r="F95" s="4">
        <v>1</v>
      </c>
      <c r="G95" s="4">
        <v>1</v>
      </c>
      <c r="H95">
        <f t="shared" si="1"/>
        <v>3</v>
      </c>
    </row>
    <row r="96" spans="1:8" x14ac:dyDescent="0.25">
      <c r="A96" s="4" t="s">
        <v>547</v>
      </c>
      <c r="B96" s="4" t="s">
        <v>548</v>
      </c>
      <c r="C96" s="4" t="s">
        <v>627</v>
      </c>
      <c r="D96" s="4" t="s">
        <v>628</v>
      </c>
      <c r="E96" s="4">
        <v>3</v>
      </c>
      <c r="F96" s="4">
        <v>0</v>
      </c>
      <c r="G96" s="4">
        <v>0</v>
      </c>
      <c r="H96">
        <f t="shared" si="1"/>
        <v>3</v>
      </c>
    </row>
    <row r="97" spans="1:8" x14ac:dyDescent="0.25">
      <c r="A97" s="4" t="s">
        <v>547</v>
      </c>
      <c r="B97" s="4" t="s">
        <v>548</v>
      </c>
      <c r="C97" s="4" t="s">
        <v>695</v>
      </c>
      <c r="D97" s="4" t="s">
        <v>696</v>
      </c>
      <c r="E97" s="4">
        <v>8</v>
      </c>
      <c r="F97" s="4">
        <v>1</v>
      </c>
      <c r="G97" s="4">
        <v>0</v>
      </c>
      <c r="H97">
        <f t="shared" si="1"/>
        <v>9</v>
      </c>
    </row>
    <row r="98" spans="1:8" x14ac:dyDescent="0.25">
      <c r="A98" s="4" t="s">
        <v>547</v>
      </c>
      <c r="B98" s="4" t="s">
        <v>548</v>
      </c>
      <c r="C98" s="4" t="s">
        <v>651</v>
      </c>
      <c r="D98" s="4" t="s">
        <v>652</v>
      </c>
      <c r="E98" s="4">
        <v>3</v>
      </c>
      <c r="F98" s="4">
        <v>1</v>
      </c>
      <c r="G98" s="4">
        <v>0</v>
      </c>
      <c r="H98">
        <f t="shared" si="1"/>
        <v>4</v>
      </c>
    </row>
    <row r="99" spans="1:8" x14ac:dyDescent="0.25">
      <c r="A99" s="4" t="s">
        <v>547</v>
      </c>
      <c r="B99" s="4" t="s">
        <v>548</v>
      </c>
      <c r="C99" s="4" t="s">
        <v>697</v>
      </c>
      <c r="D99" s="4" t="s">
        <v>698</v>
      </c>
      <c r="E99" s="4">
        <v>5</v>
      </c>
      <c r="F99" s="4">
        <v>2</v>
      </c>
      <c r="G99" s="4">
        <v>0</v>
      </c>
      <c r="H99">
        <f t="shared" si="1"/>
        <v>7</v>
      </c>
    </row>
    <row r="100" spans="1:8" x14ac:dyDescent="0.25">
      <c r="A100" s="4" t="s">
        <v>547</v>
      </c>
      <c r="B100" s="4" t="s">
        <v>548</v>
      </c>
      <c r="C100" s="4" t="s">
        <v>699</v>
      </c>
      <c r="D100" s="4" t="s">
        <v>700</v>
      </c>
      <c r="E100" s="4">
        <v>4</v>
      </c>
      <c r="F100" s="4">
        <v>1</v>
      </c>
      <c r="G100" s="4">
        <v>0</v>
      </c>
      <c r="H100">
        <f t="shared" si="1"/>
        <v>5</v>
      </c>
    </row>
    <row r="101" spans="1:8" x14ac:dyDescent="0.25">
      <c r="A101" s="4" t="s">
        <v>547</v>
      </c>
      <c r="B101" s="4" t="s">
        <v>548</v>
      </c>
      <c r="C101" s="4" t="s">
        <v>657</v>
      </c>
      <c r="D101" s="4" t="s">
        <v>658</v>
      </c>
      <c r="E101" s="4">
        <v>3</v>
      </c>
      <c r="F101" s="4">
        <v>0</v>
      </c>
      <c r="G101" s="4">
        <v>1</v>
      </c>
      <c r="H101">
        <f t="shared" si="1"/>
        <v>4</v>
      </c>
    </row>
    <row r="102" spans="1:8" x14ac:dyDescent="0.25">
      <c r="A102" s="4" t="s">
        <v>547</v>
      </c>
      <c r="B102" s="4" t="s">
        <v>548</v>
      </c>
      <c r="C102" s="4" t="s">
        <v>701</v>
      </c>
      <c r="D102" s="4" t="s">
        <v>702</v>
      </c>
      <c r="E102" s="4">
        <v>3</v>
      </c>
      <c r="F102" s="4">
        <v>0</v>
      </c>
      <c r="G102" s="4">
        <v>0</v>
      </c>
      <c r="H102">
        <f t="shared" si="1"/>
        <v>3</v>
      </c>
    </row>
    <row r="103" spans="1:8" x14ac:dyDescent="0.25">
      <c r="A103" s="4" t="s">
        <v>547</v>
      </c>
      <c r="B103" s="4" t="s">
        <v>548</v>
      </c>
      <c r="C103" s="4" t="s">
        <v>703</v>
      </c>
      <c r="D103" s="4" t="s">
        <v>704</v>
      </c>
      <c r="E103" s="4">
        <v>1</v>
      </c>
      <c r="F103" s="4">
        <v>0</v>
      </c>
      <c r="G103" s="4">
        <v>1</v>
      </c>
      <c r="H103">
        <f t="shared" si="1"/>
        <v>2</v>
      </c>
    </row>
    <row r="104" spans="1:8" x14ac:dyDescent="0.25">
      <c r="A104" s="4" t="s">
        <v>547</v>
      </c>
      <c r="B104" s="4" t="s">
        <v>548</v>
      </c>
      <c r="C104" s="4" t="s">
        <v>637</v>
      </c>
      <c r="D104" s="4" t="s">
        <v>638</v>
      </c>
      <c r="E104" s="4">
        <v>4</v>
      </c>
      <c r="F104" s="4">
        <v>0</v>
      </c>
      <c r="G104" s="4">
        <v>0</v>
      </c>
      <c r="H104">
        <f t="shared" si="1"/>
        <v>4</v>
      </c>
    </row>
    <row r="105" spans="1:8" x14ac:dyDescent="0.25">
      <c r="A105" s="4" t="s">
        <v>547</v>
      </c>
      <c r="B105" s="4" t="s">
        <v>548</v>
      </c>
      <c r="C105" s="4" t="s">
        <v>705</v>
      </c>
      <c r="D105" s="4" t="s">
        <v>706</v>
      </c>
      <c r="E105" s="4">
        <v>1</v>
      </c>
      <c r="F105" s="4">
        <v>0</v>
      </c>
      <c r="G105" s="4">
        <v>0</v>
      </c>
      <c r="H105">
        <f t="shared" si="1"/>
        <v>1</v>
      </c>
    </row>
    <row r="106" spans="1:8" x14ac:dyDescent="0.25">
      <c r="A106" s="4" t="s">
        <v>547</v>
      </c>
      <c r="B106" s="4" t="s">
        <v>548</v>
      </c>
      <c r="C106" s="4" t="s">
        <v>649</v>
      </c>
      <c r="D106" s="4" t="s">
        <v>650</v>
      </c>
      <c r="E106" s="4">
        <v>2</v>
      </c>
      <c r="F106" s="4">
        <v>0</v>
      </c>
      <c r="G106" s="4">
        <v>0</v>
      </c>
      <c r="H106">
        <f t="shared" si="1"/>
        <v>2</v>
      </c>
    </row>
    <row r="107" spans="1:8" x14ac:dyDescent="0.25">
      <c r="A107" s="4" t="s">
        <v>547</v>
      </c>
      <c r="B107" s="4" t="s">
        <v>548</v>
      </c>
      <c r="C107" s="4" t="s">
        <v>639</v>
      </c>
      <c r="D107" s="4" t="s">
        <v>640</v>
      </c>
      <c r="E107" s="4">
        <v>1</v>
      </c>
      <c r="F107" s="4">
        <v>0</v>
      </c>
      <c r="G107" s="4">
        <v>0</v>
      </c>
      <c r="H107">
        <f t="shared" si="1"/>
        <v>1</v>
      </c>
    </row>
    <row r="108" spans="1:8" x14ac:dyDescent="0.25">
      <c r="A108" s="4" t="s">
        <v>547</v>
      </c>
      <c r="B108" s="4" t="s">
        <v>548</v>
      </c>
      <c r="C108" s="4" t="s">
        <v>659</v>
      </c>
      <c r="D108" s="4" t="s">
        <v>660</v>
      </c>
      <c r="E108" s="4">
        <v>0</v>
      </c>
      <c r="F108" s="4">
        <v>0</v>
      </c>
      <c r="G108" s="4">
        <v>1</v>
      </c>
      <c r="H108">
        <f t="shared" si="1"/>
        <v>1</v>
      </c>
    </row>
    <row r="109" spans="1:8" x14ac:dyDescent="0.25">
      <c r="A109" s="4" t="s">
        <v>547</v>
      </c>
      <c r="B109" s="4" t="s">
        <v>548</v>
      </c>
      <c r="C109" s="4" t="s">
        <v>707</v>
      </c>
      <c r="D109" s="4" t="s">
        <v>708</v>
      </c>
      <c r="E109" s="4">
        <v>3</v>
      </c>
      <c r="F109" s="4">
        <v>0</v>
      </c>
      <c r="G109" s="4">
        <v>0</v>
      </c>
      <c r="H109">
        <f t="shared" si="1"/>
        <v>3</v>
      </c>
    </row>
    <row r="110" spans="1:8" x14ac:dyDescent="0.25">
      <c r="A110" s="4" t="s">
        <v>547</v>
      </c>
      <c r="B110" s="4" t="s">
        <v>548</v>
      </c>
      <c r="C110" s="4" t="s">
        <v>709</v>
      </c>
      <c r="D110" s="4" t="s">
        <v>710</v>
      </c>
      <c r="E110" s="4">
        <v>1</v>
      </c>
      <c r="F110" s="4">
        <v>0</v>
      </c>
      <c r="G110" s="4">
        <v>0</v>
      </c>
      <c r="H110">
        <f t="shared" si="1"/>
        <v>1</v>
      </c>
    </row>
    <row r="111" spans="1:8" x14ac:dyDescent="0.25">
      <c r="A111" s="4" t="s">
        <v>547</v>
      </c>
      <c r="B111" s="4" t="s">
        <v>548</v>
      </c>
      <c r="C111" s="4" t="s">
        <v>711</v>
      </c>
      <c r="D111" s="4" t="s">
        <v>712</v>
      </c>
      <c r="E111" s="4">
        <v>1</v>
      </c>
      <c r="F111" s="4">
        <v>0</v>
      </c>
      <c r="G111" s="4">
        <v>1</v>
      </c>
      <c r="H111">
        <f t="shared" si="1"/>
        <v>2</v>
      </c>
    </row>
    <row r="112" spans="1:8" x14ac:dyDescent="0.25">
      <c r="A112" s="4" t="s">
        <v>547</v>
      </c>
      <c r="B112" s="4" t="s">
        <v>548</v>
      </c>
      <c r="C112" s="4" t="s">
        <v>713</v>
      </c>
      <c r="D112" s="4" t="s">
        <v>714</v>
      </c>
      <c r="E112" s="4">
        <v>1</v>
      </c>
      <c r="F112" s="4">
        <v>1</v>
      </c>
      <c r="G112" s="4">
        <v>0</v>
      </c>
      <c r="H112">
        <f t="shared" si="1"/>
        <v>2</v>
      </c>
    </row>
    <row r="113" spans="1:8" x14ac:dyDescent="0.25">
      <c r="A113" s="4" t="s">
        <v>547</v>
      </c>
      <c r="B113" s="4" t="s">
        <v>548</v>
      </c>
      <c r="C113" s="4" t="s">
        <v>643</v>
      </c>
      <c r="D113" s="4" t="s">
        <v>644</v>
      </c>
      <c r="E113" s="4">
        <v>4</v>
      </c>
      <c r="F113" s="4">
        <v>1</v>
      </c>
      <c r="G113" s="4">
        <v>0</v>
      </c>
      <c r="H113">
        <f t="shared" si="1"/>
        <v>5</v>
      </c>
    </row>
    <row r="114" spans="1:8" x14ac:dyDescent="0.25">
      <c r="A114" s="4" t="s">
        <v>547</v>
      </c>
      <c r="B114" s="4" t="s">
        <v>548</v>
      </c>
      <c r="C114" s="4" t="s">
        <v>715</v>
      </c>
      <c r="D114" s="4" t="s">
        <v>716</v>
      </c>
      <c r="E114" s="4">
        <v>1</v>
      </c>
      <c r="F114" s="4">
        <v>0</v>
      </c>
      <c r="G114" s="4">
        <v>0</v>
      </c>
      <c r="H114">
        <f t="shared" si="1"/>
        <v>1</v>
      </c>
    </row>
    <row r="115" spans="1:8" x14ac:dyDescent="0.25">
      <c r="A115" s="4" t="s">
        <v>547</v>
      </c>
      <c r="B115" s="4" t="s">
        <v>548</v>
      </c>
      <c r="C115" s="4" t="s">
        <v>717</v>
      </c>
      <c r="D115" s="4" t="s">
        <v>718</v>
      </c>
      <c r="E115" s="4">
        <v>1</v>
      </c>
      <c r="F115" s="4">
        <v>4</v>
      </c>
      <c r="G115" s="4">
        <v>0</v>
      </c>
      <c r="H115">
        <f t="shared" si="1"/>
        <v>5</v>
      </c>
    </row>
    <row r="116" spans="1:8" x14ac:dyDescent="0.25">
      <c r="A116" s="4" t="s">
        <v>547</v>
      </c>
      <c r="B116" s="4" t="s">
        <v>548</v>
      </c>
      <c r="C116" s="4" t="s">
        <v>719</v>
      </c>
      <c r="D116" s="4" t="s">
        <v>720</v>
      </c>
      <c r="E116" s="4">
        <v>3</v>
      </c>
      <c r="F116" s="4">
        <v>2</v>
      </c>
      <c r="G116" s="4">
        <v>2</v>
      </c>
      <c r="H116">
        <f t="shared" si="1"/>
        <v>7</v>
      </c>
    </row>
    <row r="117" spans="1:8" x14ac:dyDescent="0.25">
      <c r="A117" s="4" t="s">
        <v>549</v>
      </c>
      <c r="B117" s="4" t="s">
        <v>550</v>
      </c>
      <c r="C117" s="4" t="s">
        <v>627</v>
      </c>
      <c r="D117" s="4" t="s">
        <v>628</v>
      </c>
      <c r="E117" s="4">
        <v>3</v>
      </c>
      <c r="F117" s="4">
        <v>0</v>
      </c>
      <c r="G117" s="4">
        <v>0</v>
      </c>
      <c r="H117">
        <f t="shared" si="1"/>
        <v>3</v>
      </c>
    </row>
    <row r="118" spans="1:8" x14ac:dyDescent="0.25">
      <c r="A118" s="4" t="s">
        <v>549</v>
      </c>
      <c r="B118" s="4" t="s">
        <v>550</v>
      </c>
      <c r="C118" s="4" t="s">
        <v>721</v>
      </c>
      <c r="D118" s="4" t="s">
        <v>722</v>
      </c>
      <c r="E118" s="4">
        <v>2</v>
      </c>
      <c r="F118" s="4">
        <v>1</v>
      </c>
      <c r="G118" s="4">
        <v>0</v>
      </c>
      <c r="H118">
        <f t="shared" si="1"/>
        <v>3</v>
      </c>
    </row>
    <row r="119" spans="1:8" x14ac:dyDescent="0.25">
      <c r="A119" s="4" t="s">
        <v>549</v>
      </c>
      <c r="B119" s="4" t="s">
        <v>550</v>
      </c>
      <c r="C119" s="4" t="s">
        <v>711</v>
      </c>
      <c r="D119" s="4" t="s">
        <v>712</v>
      </c>
      <c r="E119" s="4">
        <v>2</v>
      </c>
      <c r="F119" s="4">
        <v>0</v>
      </c>
      <c r="G119" s="4">
        <v>0</v>
      </c>
      <c r="H119">
        <f t="shared" si="1"/>
        <v>2</v>
      </c>
    </row>
    <row r="120" spans="1:8" x14ac:dyDescent="0.25">
      <c r="A120" s="4" t="s">
        <v>549</v>
      </c>
      <c r="B120" s="4" t="s">
        <v>550</v>
      </c>
      <c r="C120" s="4" t="s">
        <v>723</v>
      </c>
      <c r="D120" s="4" t="s">
        <v>724</v>
      </c>
      <c r="E120" s="4">
        <v>5</v>
      </c>
      <c r="F120" s="4">
        <v>2</v>
      </c>
      <c r="G120" s="4">
        <v>1</v>
      </c>
      <c r="H120">
        <f t="shared" si="1"/>
        <v>8</v>
      </c>
    </row>
    <row r="121" spans="1:8" x14ac:dyDescent="0.25">
      <c r="A121" s="4" t="s">
        <v>549</v>
      </c>
      <c r="B121" s="4" t="s">
        <v>550</v>
      </c>
      <c r="C121" s="4" t="s">
        <v>725</v>
      </c>
      <c r="D121" s="4" t="s">
        <v>726</v>
      </c>
      <c r="E121" s="4">
        <v>2</v>
      </c>
      <c r="F121" s="4">
        <v>0</v>
      </c>
      <c r="G121" s="4">
        <v>0</v>
      </c>
      <c r="H121">
        <f t="shared" si="1"/>
        <v>2</v>
      </c>
    </row>
    <row r="122" spans="1:8" x14ac:dyDescent="0.25">
      <c r="A122" s="4" t="s">
        <v>549</v>
      </c>
      <c r="B122" s="4" t="s">
        <v>550</v>
      </c>
      <c r="C122" s="4" t="s">
        <v>727</v>
      </c>
      <c r="D122" s="4" t="s">
        <v>728</v>
      </c>
      <c r="E122" s="4">
        <v>0</v>
      </c>
      <c r="F122" s="4">
        <v>1</v>
      </c>
      <c r="G122" s="4">
        <v>0</v>
      </c>
      <c r="H122">
        <f t="shared" si="1"/>
        <v>1</v>
      </c>
    </row>
    <row r="123" spans="1:8" x14ac:dyDescent="0.25">
      <c r="A123" s="4" t="s">
        <v>549</v>
      </c>
      <c r="B123" s="4" t="s">
        <v>550</v>
      </c>
      <c r="C123" s="4" t="s">
        <v>729</v>
      </c>
      <c r="D123" s="4" t="s">
        <v>730</v>
      </c>
      <c r="E123" s="4">
        <v>1</v>
      </c>
      <c r="F123" s="4">
        <v>0</v>
      </c>
      <c r="G123" s="4">
        <v>0</v>
      </c>
      <c r="H123">
        <f t="shared" si="1"/>
        <v>1</v>
      </c>
    </row>
    <row r="124" spans="1:8" x14ac:dyDescent="0.25">
      <c r="A124" s="4" t="s">
        <v>549</v>
      </c>
      <c r="B124" s="4" t="s">
        <v>550</v>
      </c>
      <c r="C124" s="4" t="s">
        <v>731</v>
      </c>
      <c r="D124" s="4" t="s">
        <v>732</v>
      </c>
      <c r="E124" s="4">
        <v>3</v>
      </c>
      <c r="F124" s="4">
        <v>0</v>
      </c>
      <c r="G124" s="4">
        <v>0</v>
      </c>
      <c r="H124">
        <f t="shared" si="1"/>
        <v>3</v>
      </c>
    </row>
    <row r="125" spans="1:8" x14ac:dyDescent="0.25">
      <c r="A125" s="4" t="s">
        <v>549</v>
      </c>
      <c r="B125" s="4" t="s">
        <v>550</v>
      </c>
      <c r="C125" s="4" t="s">
        <v>733</v>
      </c>
      <c r="D125" s="4" t="s">
        <v>734</v>
      </c>
      <c r="E125" s="4">
        <v>7</v>
      </c>
      <c r="F125" s="4">
        <v>0</v>
      </c>
      <c r="G125" s="4">
        <v>0</v>
      </c>
      <c r="H125">
        <f t="shared" si="1"/>
        <v>7</v>
      </c>
    </row>
    <row r="126" spans="1:8" x14ac:dyDescent="0.25">
      <c r="A126" s="4" t="s">
        <v>549</v>
      </c>
      <c r="B126" s="4" t="s">
        <v>550</v>
      </c>
      <c r="C126" s="4" t="s">
        <v>713</v>
      </c>
      <c r="D126" s="4" t="s">
        <v>714</v>
      </c>
      <c r="E126" s="4">
        <v>2</v>
      </c>
      <c r="F126" s="4">
        <v>0</v>
      </c>
      <c r="G126" s="4">
        <v>0</v>
      </c>
      <c r="H126">
        <f t="shared" si="1"/>
        <v>2</v>
      </c>
    </row>
    <row r="127" spans="1:8" x14ac:dyDescent="0.25">
      <c r="A127" s="4" t="s">
        <v>549</v>
      </c>
      <c r="B127" s="4" t="s">
        <v>550</v>
      </c>
      <c r="C127" s="4" t="s">
        <v>735</v>
      </c>
      <c r="D127" s="4" t="s">
        <v>736</v>
      </c>
      <c r="E127" s="4">
        <v>1</v>
      </c>
      <c r="F127" s="4">
        <v>1</v>
      </c>
      <c r="G127" s="4">
        <v>0</v>
      </c>
      <c r="H127">
        <f t="shared" si="1"/>
        <v>2</v>
      </c>
    </row>
    <row r="128" spans="1:8" x14ac:dyDescent="0.25">
      <c r="A128" s="4" t="s">
        <v>549</v>
      </c>
      <c r="B128" s="4" t="s">
        <v>550</v>
      </c>
      <c r="C128" s="4" t="s">
        <v>717</v>
      </c>
      <c r="D128" s="4" t="s">
        <v>718</v>
      </c>
      <c r="E128" s="4">
        <v>4</v>
      </c>
      <c r="F128" s="4">
        <v>0</v>
      </c>
      <c r="G128" s="4">
        <v>1</v>
      </c>
      <c r="H128">
        <f t="shared" si="1"/>
        <v>5</v>
      </c>
    </row>
    <row r="129" spans="1:8" x14ac:dyDescent="0.25">
      <c r="A129" s="4" t="s">
        <v>549</v>
      </c>
      <c r="B129" s="4" t="s">
        <v>550</v>
      </c>
      <c r="C129" s="4" t="s">
        <v>719</v>
      </c>
      <c r="D129" s="4" t="s">
        <v>720</v>
      </c>
      <c r="E129" s="4">
        <v>3</v>
      </c>
      <c r="F129" s="4">
        <v>1</v>
      </c>
      <c r="G129" s="4">
        <v>2</v>
      </c>
      <c r="H129">
        <f t="shared" si="1"/>
        <v>6</v>
      </c>
    </row>
    <row r="130" spans="1:8" x14ac:dyDescent="0.25">
      <c r="A130" s="4" t="s">
        <v>551</v>
      </c>
      <c r="B130" s="4" t="s">
        <v>552</v>
      </c>
      <c r="C130" s="4" t="s">
        <v>737</v>
      </c>
      <c r="D130" s="4" t="s">
        <v>738</v>
      </c>
      <c r="E130" s="4">
        <v>5</v>
      </c>
      <c r="F130" s="4">
        <v>0</v>
      </c>
      <c r="G130" s="4">
        <v>3</v>
      </c>
      <c r="H130">
        <f t="shared" si="1"/>
        <v>8</v>
      </c>
    </row>
    <row r="131" spans="1:8" x14ac:dyDescent="0.25">
      <c r="A131" s="4" t="s">
        <v>551</v>
      </c>
      <c r="B131" s="4" t="s">
        <v>552</v>
      </c>
      <c r="C131" s="4" t="s">
        <v>739</v>
      </c>
      <c r="D131" s="4" t="s">
        <v>740</v>
      </c>
      <c r="E131" s="4">
        <v>1</v>
      </c>
      <c r="F131" s="4">
        <v>0</v>
      </c>
      <c r="G131" s="4">
        <v>2</v>
      </c>
      <c r="H131">
        <f t="shared" si="1"/>
        <v>3</v>
      </c>
    </row>
    <row r="132" spans="1:8" x14ac:dyDescent="0.25">
      <c r="A132" s="4" t="s">
        <v>551</v>
      </c>
      <c r="B132" s="4" t="s">
        <v>552</v>
      </c>
      <c r="C132" s="4" t="s">
        <v>741</v>
      </c>
      <c r="D132" s="4" t="s">
        <v>742</v>
      </c>
      <c r="E132" s="4">
        <v>3</v>
      </c>
      <c r="F132" s="4">
        <v>0</v>
      </c>
      <c r="G132" s="4">
        <v>1</v>
      </c>
      <c r="H132">
        <f t="shared" si="1"/>
        <v>4</v>
      </c>
    </row>
    <row r="133" spans="1:8" x14ac:dyDescent="0.25">
      <c r="A133" s="4" t="s">
        <v>551</v>
      </c>
      <c r="B133" s="4" t="s">
        <v>552</v>
      </c>
      <c r="C133" s="4" t="s">
        <v>743</v>
      </c>
      <c r="D133" s="4" t="s">
        <v>744</v>
      </c>
      <c r="E133" s="4">
        <v>1</v>
      </c>
      <c r="F133" s="4">
        <v>0</v>
      </c>
      <c r="G133" s="4">
        <v>0</v>
      </c>
      <c r="H133">
        <f t="shared" ref="H133:H196" si="2">SUM(E133:G133)</f>
        <v>1</v>
      </c>
    </row>
    <row r="134" spans="1:8" x14ac:dyDescent="0.25">
      <c r="A134" s="4" t="s">
        <v>551</v>
      </c>
      <c r="B134" s="4" t="s">
        <v>552</v>
      </c>
      <c r="C134" s="4" t="s">
        <v>745</v>
      </c>
      <c r="D134" s="4" t="s">
        <v>660</v>
      </c>
      <c r="E134" s="4">
        <v>3</v>
      </c>
      <c r="F134" s="4">
        <v>0</v>
      </c>
      <c r="G134" s="4">
        <v>0</v>
      </c>
      <c r="H134">
        <f t="shared" si="2"/>
        <v>3</v>
      </c>
    </row>
    <row r="135" spans="1:8" x14ac:dyDescent="0.25">
      <c r="A135" s="4" t="s">
        <v>551</v>
      </c>
      <c r="B135" s="4" t="s">
        <v>552</v>
      </c>
      <c r="C135" s="4" t="s">
        <v>746</v>
      </c>
      <c r="D135" s="4" t="s">
        <v>747</v>
      </c>
      <c r="E135" s="4">
        <v>3</v>
      </c>
      <c r="F135" s="4">
        <v>0</v>
      </c>
      <c r="G135" s="4">
        <v>0</v>
      </c>
      <c r="H135">
        <f t="shared" si="2"/>
        <v>3</v>
      </c>
    </row>
    <row r="136" spans="1:8" x14ac:dyDescent="0.25">
      <c r="A136" s="4" t="s">
        <v>551</v>
      </c>
      <c r="B136" s="4" t="s">
        <v>552</v>
      </c>
      <c r="C136" s="4" t="s">
        <v>748</v>
      </c>
      <c r="D136" s="4" t="s">
        <v>749</v>
      </c>
      <c r="E136" s="4">
        <v>3</v>
      </c>
      <c r="F136" s="4">
        <v>0</v>
      </c>
      <c r="G136" s="4">
        <v>0</v>
      </c>
      <c r="H136">
        <f t="shared" si="2"/>
        <v>3</v>
      </c>
    </row>
    <row r="137" spans="1:8" x14ac:dyDescent="0.25">
      <c r="A137" s="4" t="s">
        <v>551</v>
      </c>
      <c r="B137" s="4" t="s">
        <v>552</v>
      </c>
      <c r="C137" s="4" t="s">
        <v>750</v>
      </c>
      <c r="D137" s="4" t="s">
        <v>751</v>
      </c>
      <c r="E137" s="4">
        <v>5</v>
      </c>
      <c r="F137" s="4">
        <v>3</v>
      </c>
      <c r="G137" s="4">
        <v>0</v>
      </c>
      <c r="H137">
        <f t="shared" si="2"/>
        <v>8</v>
      </c>
    </row>
    <row r="138" spans="1:8" x14ac:dyDescent="0.25">
      <c r="A138" s="4" t="s">
        <v>551</v>
      </c>
      <c r="B138" s="4" t="s">
        <v>552</v>
      </c>
      <c r="C138" s="4" t="s">
        <v>752</v>
      </c>
      <c r="D138" s="4" t="s">
        <v>753</v>
      </c>
      <c r="E138" s="4">
        <v>3</v>
      </c>
      <c r="F138" s="4">
        <v>0</v>
      </c>
      <c r="G138" s="4">
        <v>0</v>
      </c>
      <c r="H138">
        <f t="shared" si="2"/>
        <v>3</v>
      </c>
    </row>
    <row r="139" spans="1:8" x14ac:dyDescent="0.25">
      <c r="A139" s="4" t="s">
        <v>553</v>
      </c>
      <c r="B139" s="4" t="s">
        <v>554</v>
      </c>
      <c r="C139" s="4" t="s">
        <v>754</v>
      </c>
      <c r="D139" s="4" t="s">
        <v>755</v>
      </c>
      <c r="E139" s="4">
        <v>0</v>
      </c>
      <c r="F139" s="4">
        <v>1</v>
      </c>
      <c r="G139" s="4">
        <v>3</v>
      </c>
      <c r="H139">
        <f t="shared" si="2"/>
        <v>4</v>
      </c>
    </row>
    <row r="140" spans="1:8" x14ac:dyDescent="0.25">
      <c r="A140" s="4" t="s">
        <v>553</v>
      </c>
      <c r="B140" s="4" t="s">
        <v>554</v>
      </c>
      <c r="C140" s="4" t="s">
        <v>673</v>
      </c>
      <c r="D140" s="4" t="s">
        <v>674</v>
      </c>
      <c r="E140" s="4">
        <v>1</v>
      </c>
      <c r="F140" s="4">
        <v>2</v>
      </c>
      <c r="G140" s="4">
        <v>4</v>
      </c>
      <c r="H140">
        <f t="shared" si="2"/>
        <v>7</v>
      </c>
    </row>
    <row r="141" spans="1:8" x14ac:dyDescent="0.25">
      <c r="A141" s="4" t="s">
        <v>553</v>
      </c>
      <c r="B141" s="4" t="s">
        <v>554</v>
      </c>
      <c r="C141" s="4" t="s">
        <v>675</v>
      </c>
      <c r="D141" s="4" t="s">
        <v>676</v>
      </c>
      <c r="E141" s="4">
        <v>0</v>
      </c>
      <c r="F141" s="4">
        <v>0</v>
      </c>
      <c r="G141" s="4">
        <v>3</v>
      </c>
      <c r="H141">
        <f t="shared" si="2"/>
        <v>3</v>
      </c>
    </row>
    <row r="142" spans="1:8" x14ac:dyDescent="0.25">
      <c r="A142" s="4" t="s">
        <v>553</v>
      </c>
      <c r="B142" s="4" t="s">
        <v>554</v>
      </c>
      <c r="C142" s="4" t="s">
        <v>756</v>
      </c>
      <c r="D142" s="4" t="s">
        <v>757</v>
      </c>
      <c r="E142" s="4">
        <v>3</v>
      </c>
      <c r="F142" s="4">
        <v>0</v>
      </c>
      <c r="G142" s="4">
        <v>0</v>
      </c>
      <c r="H142">
        <f t="shared" si="2"/>
        <v>3</v>
      </c>
    </row>
    <row r="143" spans="1:8" x14ac:dyDescent="0.25">
      <c r="A143" s="4" t="s">
        <v>553</v>
      </c>
      <c r="B143" s="4" t="s">
        <v>554</v>
      </c>
      <c r="C143" s="4" t="s">
        <v>695</v>
      </c>
      <c r="D143" s="4" t="s">
        <v>696</v>
      </c>
      <c r="E143" s="4">
        <v>0</v>
      </c>
      <c r="F143" s="4">
        <v>3</v>
      </c>
      <c r="G143" s="4">
        <v>0</v>
      </c>
      <c r="H143">
        <f t="shared" si="2"/>
        <v>3</v>
      </c>
    </row>
    <row r="144" spans="1:8" x14ac:dyDescent="0.25">
      <c r="A144" s="4" t="s">
        <v>553</v>
      </c>
      <c r="B144" s="4" t="s">
        <v>554</v>
      </c>
      <c r="C144" s="4" t="s">
        <v>703</v>
      </c>
      <c r="D144" s="4" t="s">
        <v>704</v>
      </c>
      <c r="E144" s="4">
        <v>0</v>
      </c>
      <c r="F144" s="4">
        <v>1</v>
      </c>
      <c r="G144" s="4">
        <v>1</v>
      </c>
      <c r="H144">
        <f t="shared" si="2"/>
        <v>2</v>
      </c>
    </row>
    <row r="145" spans="1:8" x14ac:dyDescent="0.25">
      <c r="A145" s="4" t="s">
        <v>553</v>
      </c>
      <c r="B145" s="4" t="s">
        <v>554</v>
      </c>
      <c r="C145" s="4" t="s">
        <v>701</v>
      </c>
      <c r="D145" s="4" t="s">
        <v>702</v>
      </c>
      <c r="E145" s="4">
        <v>0</v>
      </c>
      <c r="F145" s="4">
        <v>1</v>
      </c>
      <c r="G145" s="4">
        <v>0</v>
      </c>
      <c r="H145">
        <f t="shared" si="2"/>
        <v>1</v>
      </c>
    </row>
    <row r="146" spans="1:8" x14ac:dyDescent="0.25">
      <c r="A146" s="4" t="s">
        <v>553</v>
      </c>
      <c r="B146" s="4" t="s">
        <v>554</v>
      </c>
      <c r="C146" s="4" t="s">
        <v>639</v>
      </c>
      <c r="D146" s="4" t="s">
        <v>640</v>
      </c>
      <c r="E146" s="4">
        <v>0</v>
      </c>
      <c r="F146" s="4">
        <v>1</v>
      </c>
      <c r="G146" s="4">
        <v>1</v>
      </c>
      <c r="H146">
        <f t="shared" si="2"/>
        <v>2</v>
      </c>
    </row>
    <row r="147" spans="1:8" x14ac:dyDescent="0.25">
      <c r="A147" s="4" t="s">
        <v>553</v>
      </c>
      <c r="B147" s="4" t="s">
        <v>554</v>
      </c>
      <c r="C147" s="4" t="s">
        <v>643</v>
      </c>
      <c r="D147" s="4" t="s">
        <v>644</v>
      </c>
      <c r="E147" s="4">
        <v>0</v>
      </c>
      <c r="F147" s="4">
        <v>1</v>
      </c>
      <c r="G147" s="4">
        <v>0</v>
      </c>
      <c r="H147">
        <f t="shared" si="2"/>
        <v>1</v>
      </c>
    </row>
    <row r="148" spans="1:8" x14ac:dyDescent="0.25">
      <c r="A148" s="4" t="s">
        <v>553</v>
      </c>
      <c r="B148" s="4" t="s">
        <v>554</v>
      </c>
      <c r="C148" s="4" t="s">
        <v>717</v>
      </c>
      <c r="D148" s="4" t="s">
        <v>718</v>
      </c>
      <c r="E148" s="4">
        <v>0</v>
      </c>
      <c r="F148" s="4">
        <v>1</v>
      </c>
      <c r="G148" s="4">
        <v>2</v>
      </c>
      <c r="H148">
        <f t="shared" si="2"/>
        <v>3</v>
      </c>
    </row>
    <row r="149" spans="1:8" x14ac:dyDescent="0.25">
      <c r="A149" s="4" t="s">
        <v>553</v>
      </c>
      <c r="B149" s="4" t="s">
        <v>554</v>
      </c>
      <c r="C149" s="4" t="s">
        <v>719</v>
      </c>
      <c r="D149" s="4" t="s">
        <v>720</v>
      </c>
      <c r="E149" s="4">
        <v>0</v>
      </c>
      <c r="F149" s="4">
        <v>1</v>
      </c>
      <c r="G149" s="4">
        <v>0</v>
      </c>
      <c r="H149">
        <f t="shared" si="2"/>
        <v>1</v>
      </c>
    </row>
    <row r="150" spans="1:8" x14ac:dyDescent="0.25">
      <c r="A150" s="4" t="s">
        <v>555</v>
      </c>
      <c r="B150" s="4" t="s">
        <v>556</v>
      </c>
      <c r="C150" s="4" t="s">
        <v>754</v>
      </c>
      <c r="D150" s="4" t="s">
        <v>755</v>
      </c>
      <c r="E150" s="4">
        <v>4</v>
      </c>
      <c r="F150" s="4">
        <v>0</v>
      </c>
      <c r="G150" s="4">
        <v>0</v>
      </c>
      <c r="H150">
        <f t="shared" si="2"/>
        <v>4</v>
      </c>
    </row>
    <row r="151" spans="1:8" x14ac:dyDescent="0.25">
      <c r="A151" s="4" t="s">
        <v>555</v>
      </c>
      <c r="B151" s="4" t="s">
        <v>556</v>
      </c>
      <c r="C151" s="4" t="s">
        <v>673</v>
      </c>
      <c r="D151" s="4" t="s">
        <v>674</v>
      </c>
      <c r="E151" s="4">
        <v>5</v>
      </c>
      <c r="F151" s="4">
        <v>0</v>
      </c>
      <c r="G151" s="4">
        <v>2</v>
      </c>
      <c r="H151">
        <f t="shared" si="2"/>
        <v>7</v>
      </c>
    </row>
    <row r="152" spans="1:8" x14ac:dyDescent="0.25">
      <c r="A152" s="4" t="s">
        <v>555</v>
      </c>
      <c r="B152" s="4" t="s">
        <v>556</v>
      </c>
      <c r="C152" s="4" t="s">
        <v>675</v>
      </c>
      <c r="D152" s="4" t="s">
        <v>676</v>
      </c>
      <c r="E152" s="4">
        <v>2</v>
      </c>
      <c r="F152" s="4">
        <v>0</v>
      </c>
      <c r="G152" s="4">
        <v>1</v>
      </c>
      <c r="H152">
        <f t="shared" si="2"/>
        <v>3</v>
      </c>
    </row>
    <row r="153" spans="1:8" x14ac:dyDescent="0.25">
      <c r="A153" s="4" t="s">
        <v>555</v>
      </c>
      <c r="B153" s="4" t="s">
        <v>556</v>
      </c>
      <c r="C153" s="4" t="s">
        <v>756</v>
      </c>
      <c r="D153" s="4" t="s">
        <v>757</v>
      </c>
      <c r="E153" s="4">
        <v>3</v>
      </c>
      <c r="F153" s="4">
        <v>0</v>
      </c>
      <c r="G153" s="4">
        <v>0</v>
      </c>
      <c r="H153">
        <f t="shared" si="2"/>
        <v>3</v>
      </c>
    </row>
    <row r="154" spans="1:8" x14ac:dyDescent="0.25">
      <c r="A154" s="4" t="s">
        <v>555</v>
      </c>
      <c r="B154" s="4" t="s">
        <v>556</v>
      </c>
      <c r="C154" s="4" t="s">
        <v>695</v>
      </c>
      <c r="D154" s="4" t="s">
        <v>696</v>
      </c>
      <c r="E154" s="4">
        <v>1</v>
      </c>
      <c r="F154" s="4">
        <v>2</v>
      </c>
      <c r="G154" s="4">
        <v>0</v>
      </c>
      <c r="H154">
        <f t="shared" si="2"/>
        <v>3</v>
      </c>
    </row>
    <row r="155" spans="1:8" x14ac:dyDescent="0.25">
      <c r="A155" s="4" t="s">
        <v>555</v>
      </c>
      <c r="B155" s="4" t="s">
        <v>556</v>
      </c>
      <c r="C155" s="4" t="s">
        <v>703</v>
      </c>
      <c r="D155" s="4" t="s">
        <v>704</v>
      </c>
      <c r="E155" s="4">
        <v>1</v>
      </c>
      <c r="F155" s="4">
        <v>1</v>
      </c>
      <c r="G155" s="4">
        <v>0</v>
      </c>
      <c r="H155">
        <f t="shared" si="2"/>
        <v>2</v>
      </c>
    </row>
    <row r="156" spans="1:8" x14ac:dyDescent="0.25">
      <c r="A156" s="4" t="s">
        <v>555</v>
      </c>
      <c r="B156" s="4" t="s">
        <v>556</v>
      </c>
      <c r="C156" s="4" t="s">
        <v>701</v>
      </c>
      <c r="D156" s="4" t="s">
        <v>702</v>
      </c>
      <c r="E156" s="4">
        <v>1</v>
      </c>
      <c r="F156" s="4">
        <v>0</v>
      </c>
      <c r="G156" s="4">
        <v>0</v>
      </c>
      <c r="H156">
        <f t="shared" si="2"/>
        <v>1</v>
      </c>
    </row>
    <row r="157" spans="1:8" x14ac:dyDescent="0.25">
      <c r="A157" s="4" t="s">
        <v>555</v>
      </c>
      <c r="B157" s="4" t="s">
        <v>556</v>
      </c>
      <c r="C157" s="4" t="s">
        <v>639</v>
      </c>
      <c r="D157" s="4" t="s">
        <v>640</v>
      </c>
      <c r="E157" s="4">
        <v>2</v>
      </c>
      <c r="F157" s="4">
        <v>0</v>
      </c>
      <c r="G157" s="4">
        <v>0</v>
      </c>
      <c r="H157">
        <f t="shared" si="2"/>
        <v>2</v>
      </c>
    </row>
    <row r="158" spans="1:8" x14ac:dyDescent="0.25">
      <c r="A158" s="4" t="s">
        <v>555</v>
      </c>
      <c r="B158" s="4" t="s">
        <v>556</v>
      </c>
      <c r="C158" s="4" t="s">
        <v>643</v>
      </c>
      <c r="D158" s="4" t="s">
        <v>644</v>
      </c>
      <c r="E158" s="4">
        <v>0</v>
      </c>
      <c r="F158" s="4">
        <v>0</v>
      </c>
      <c r="G158" s="4">
        <v>1</v>
      </c>
      <c r="H158">
        <f t="shared" si="2"/>
        <v>1</v>
      </c>
    </row>
    <row r="159" spans="1:8" x14ac:dyDescent="0.25">
      <c r="A159" s="4" t="s">
        <v>555</v>
      </c>
      <c r="B159" s="4" t="s">
        <v>556</v>
      </c>
      <c r="C159" s="4" t="s">
        <v>717</v>
      </c>
      <c r="D159" s="4" t="s">
        <v>718</v>
      </c>
      <c r="E159" s="4">
        <v>3</v>
      </c>
      <c r="F159" s="4">
        <v>0</v>
      </c>
      <c r="G159" s="4">
        <v>0</v>
      </c>
      <c r="H159">
        <f t="shared" si="2"/>
        <v>3</v>
      </c>
    </row>
    <row r="160" spans="1:8" x14ac:dyDescent="0.25">
      <c r="A160" s="4" t="s">
        <v>555</v>
      </c>
      <c r="B160" s="4" t="s">
        <v>556</v>
      </c>
      <c r="C160" s="4" t="s">
        <v>719</v>
      </c>
      <c r="D160" s="4" t="s">
        <v>720</v>
      </c>
      <c r="E160" s="4">
        <v>1</v>
      </c>
      <c r="F160" s="4">
        <v>0</v>
      </c>
      <c r="G160" s="4">
        <v>0</v>
      </c>
      <c r="H160">
        <f t="shared" si="2"/>
        <v>1</v>
      </c>
    </row>
    <row r="161" spans="1:8" x14ac:dyDescent="0.25">
      <c r="A161" s="4" t="s">
        <v>557</v>
      </c>
      <c r="B161" s="4" t="s">
        <v>558</v>
      </c>
      <c r="C161" s="4" t="s">
        <v>754</v>
      </c>
      <c r="D161" s="4" t="s">
        <v>755</v>
      </c>
      <c r="E161" s="4">
        <v>0</v>
      </c>
      <c r="F161" s="4">
        <v>0</v>
      </c>
      <c r="G161" s="4">
        <v>4</v>
      </c>
      <c r="H161">
        <f t="shared" si="2"/>
        <v>4</v>
      </c>
    </row>
    <row r="162" spans="1:8" x14ac:dyDescent="0.25">
      <c r="A162" s="4" t="s">
        <v>557</v>
      </c>
      <c r="B162" s="4" t="s">
        <v>558</v>
      </c>
      <c r="C162" s="4" t="s">
        <v>673</v>
      </c>
      <c r="D162" s="4" t="s">
        <v>674</v>
      </c>
      <c r="E162" s="4">
        <v>0</v>
      </c>
      <c r="F162" s="4">
        <v>0</v>
      </c>
      <c r="G162" s="4">
        <v>7</v>
      </c>
      <c r="H162">
        <f t="shared" si="2"/>
        <v>7</v>
      </c>
    </row>
    <row r="163" spans="1:8" x14ac:dyDescent="0.25">
      <c r="A163" s="4" t="s">
        <v>557</v>
      </c>
      <c r="B163" s="4" t="s">
        <v>558</v>
      </c>
      <c r="C163" s="4" t="s">
        <v>675</v>
      </c>
      <c r="D163" s="4" t="s">
        <v>676</v>
      </c>
      <c r="E163" s="4">
        <v>0</v>
      </c>
      <c r="F163" s="4">
        <v>0</v>
      </c>
      <c r="G163" s="4">
        <v>3</v>
      </c>
      <c r="H163">
        <f t="shared" si="2"/>
        <v>3</v>
      </c>
    </row>
    <row r="164" spans="1:8" x14ac:dyDescent="0.25">
      <c r="A164" s="4" t="s">
        <v>557</v>
      </c>
      <c r="B164" s="4" t="s">
        <v>558</v>
      </c>
      <c r="C164" s="4" t="s">
        <v>756</v>
      </c>
      <c r="D164" s="4" t="s">
        <v>757</v>
      </c>
      <c r="E164" s="4">
        <v>0</v>
      </c>
      <c r="F164" s="4">
        <v>0</v>
      </c>
      <c r="G164" s="4">
        <v>3</v>
      </c>
      <c r="H164">
        <f t="shared" si="2"/>
        <v>3</v>
      </c>
    </row>
    <row r="165" spans="1:8" x14ac:dyDescent="0.25">
      <c r="A165" s="4" t="s">
        <v>557</v>
      </c>
      <c r="B165" s="4" t="s">
        <v>558</v>
      </c>
      <c r="C165" s="4" t="s">
        <v>695</v>
      </c>
      <c r="D165" s="4" t="s">
        <v>696</v>
      </c>
      <c r="E165" s="4">
        <v>0</v>
      </c>
      <c r="F165" s="4">
        <v>0</v>
      </c>
      <c r="G165" s="4">
        <v>3</v>
      </c>
      <c r="H165">
        <f t="shared" si="2"/>
        <v>3</v>
      </c>
    </row>
    <row r="166" spans="1:8" x14ac:dyDescent="0.25">
      <c r="A166" s="4" t="s">
        <v>557</v>
      </c>
      <c r="B166" s="4" t="s">
        <v>558</v>
      </c>
      <c r="C166" s="4" t="s">
        <v>703</v>
      </c>
      <c r="D166" s="4" t="s">
        <v>704</v>
      </c>
      <c r="E166" s="4">
        <v>0</v>
      </c>
      <c r="F166" s="4">
        <v>0</v>
      </c>
      <c r="G166" s="4">
        <v>2</v>
      </c>
      <c r="H166">
        <f t="shared" si="2"/>
        <v>2</v>
      </c>
    </row>
    <row r="167" spans="1:8" x14ac:dyDescent="0.25">
      <c r="A167" s="4" t="s">
        <v>557</v>
      </c>
      <c r="B167" s="4" t="s">
        <v>558</v>
      </c>
      <c r="C167" s="4" t="s">
        <v>701</v>
      </c>
      <c r="D167" s="4" t="s">
        <v>702</v>
      </c>
      <c r="E167" s="4">
        <v>0</v>
      </c>
      <c r="F167" s="4">
        <v>0</v>
      </c>
      <c r="G167" s="4">
        <v>1</v>
      </c>
      <c r="H167">
        <f t="shared" si="2"/>
        <v>1</v>
      </c>
    </row>
    <row r="168" spans="1:8" x14ac:dyDescent="0.25">
      <c r="A168" s="4" t="s">
        <v>557</v>
      </c>
      <c r="B168" s="4" t="s">
        <v>558</v>
      </c>
      <c r="C168" s="4" t="s">
        <v>639</v>
      </c>
      <c r="D168" s="4" t="s">
        <v>640</v>
      </c>
      <c r="E168" s="4">
        <v>0</v>
      </c>
      <c r="F168" s="4">
        <v>0</v>
      </c>
      <c r="G168" s="4">
        <v>2</v>
      </c>
      <c r="H168">
        <f t="shared" si="2"/>
        <v>2</v>
      </c>
    </row>
    <row r="169" spans="1:8" x14ac:dyDescent="0.25">
      <c r="A169" s="4" t="s">
        <v>557</v>
      </c>
      <c r="B169" s="4" t="s">
        <v>558</v>
      </c>
      <c r="C169" s="4" t="s">
        <v>643</v>
      </c>
      <c r="D169" s="4" t="s">
        <v>644</v>
      </c>
      <c r="E169" s="4">
        <v>0</v>
      </c>
      <c r="F169" s="4">
        <v>0</v>
      </c>
      <c r="G169" s="4">
        <v>1</v>
      </c>
      <c r="H169">
        <f t="shared" si="2"/>
        <v>1</v>
      </c>
    </row>
    <row r="170" spans="1:8" x14ac:dyDescent="0.25">
      <c r="A170" s="4" t="s">
        <v>557</v>
      </c>
      <c r="B170" s="4" t="s">
        <v>558</v>
      </c>
      <c r="C170" s="4" t="s">
        <v>717</v>
      </c>
      <c r="D170" s="4" t="s">
        <v>718</v>
      </c>
      <c r="E170" s="4">
        <v>0</v>
      </c>
      <c r="F170" s="4">
        <v>0</v>
      </c>
      <c r="G170" s="4">
        <v>3</v>
      </c>
      <c r="H170">
        <f t="shared" si="2"/>
        <v>3</v>
      </c>
    </row>
    <row r="171" spans="1:8" x14ac:dyDescent="0.25">
      <c r="A171" s="4" t="s">
        <v>557</v>
      </c>
      <c r="B171" s="4" t="s">
        <v>558</v>
      </c>
      <c r="C171" s="4" t="s">
        <v>719</v>
      </c>
      <c r="D171" s="4" t="s">
        <v>720</v>
      </c>
      <c r="E171" s="4">
        <v>0</v>
      </c>
      <c r="F171" s="4">
        <v>0</v>
      </c>
      <c r="G171" s="4">
        <v>1</v>
      </c>
      <c r="H171">
        <f t="shared" si="2"/>
        <v>1</v>
      </c>
    </row>
    <row r="172" spans="1:8" x14ac:dyDescent="0.25">
      <c r="A172" s="4" t="s">
        <v>559</v>
      </c>
      <c r="B172" s="4" t="s">
        <v>560</v>
      </c>
      <c r="C172" s="4" t="s">
        <v>758</v>
      </c>
      <c r="D172" s="4" t="s">
        <v>759</v>
      </c>
      <c r="E172" s="4">
        <v>3</v>
      </c>
      <c r="F172" s="4">
        <v>1</v>
      </c>
      <c r="G172" s="4">
        <v>5</v>
      </c>
      <c r="H172">
        <f t="shared" si="2"/>
        <v>9</v>
      </c>
    </row>
    <row r="173" spans="1:8" x14ac:dyDescent="0.25">
      <c r="A173" s="4" t="s">
        <v>559</v>
      </c>
      <c r="B173" s="4" t="s">
        <v>560</v>
      </c>
      <c r="C173" s="4" t="s">
        <v>760</v>
      </c>
      <c r="D173" s="4" t="s">
        <v>761</v>
      </c>
      <c r="E173" s="4">
        <v>4</v>
      </c>
      <c r="F173" s="4">
        <v>1</v>
      </c>
      <c r="G173" s="4">
        <v>1</v>
      </c>
      <c r="H173">
        <f t="shared" si="2"/>
        <v>6</v>
      </c>
    </row>
    <row r="174" spans="1:8" x14ac:dyDescent="0.25">
      <c r="A174" s="4" t="s">
        <v>559</v>
      </c>
      <c r="B174" s="4" t="s">
        <v>560</v>
      </c>
      <c r="C174" s="4" t="s">
        <v>762</v>
      </c>
      <c r="D174" s="4" t="s">
        <v>763</v>
      </c>
      <c r="E174" s="4">
        <v>1</v>
      </c>
      <c r="F174" s="4">
        <v>0</v>
      </c>
      <c r="G174" s="4">
        <v>1</v>
      </c>
      <c r="H174">
        <f t="shared" si="2"/>
        <v>2</v>
      </c>
    </row>
    <row r="175" spans="1:8" x14ac:dyDescent="0.25">
      <c r="A175" s="4" t="s">
        <v>559</v>
      </c>
      <c r="B175" s="4" t="s">
        <v>560</v>
      </c>
      <c r="C175" s="4" t="s">
        <v>764</v>
      </c>
      <c r="D175" s="4" t="s">
        <v>765</v>
      </c>
      <c r="E175" s="4">
        <v>5</v>
      </c>
      <c r="F175" s="4">
        <v>0</v>
      </c>
      <c r="G175" s="4">
        <v>0</v>
      </c>
      <c r="H175">
        <f t="shared" si="2"/>
        <v>5</v>
      </c>
    </row>
    <row r="176" spans="1:8" x14ac:dyDescent="0.25">
      <c r="A176" s="4" t="s">
        <v>561</v>
      </c>
      <c r="B176" s="4" t="s">
        <v>562</v>
      </c>
      <c r="C176" s="4" t="s">
        <v>758</v>
      </c>
      <c r="D176" s="4" t="s">
        <v>759</v>
      </c>
      <c r="E176" s="4">
        <v>3</v>
      </c>
      <c r="F176" s="4">
        <v>0</v>
      </c>
      <c r="G176" s="4">
        <v>6</v>
      </c>
      <c r="H176">
        <f t="shared" si="2"/>
        <v>9</v>
      </c>
    </row>
    <row r="177" spans="1:8" x14ac:dyDescent="0.25">
      <c r="A177" s="4" t="s">
        <v>561</v>
      </c>
      <c r="B177" s="4" t="s">
        <v>562</v>
      </c>
      <c r="C177" s="4" t="s">
        <v>760</v>
      </c>
      <c r="D177" s="4" t="s">
        <v>761</v>
      </c>
      <c r="E177" s="4">
        <v>2</v>
      </c>
      <c r="F177" s="4">
        <v>0</v>
      </c>
      <c r="G177" s="4">
        <v>4</v>
      </c>
      <c r="H177">
        <f t="shared" si="2"/>
        <v>6</v>
      </c>
    </row>
    <row r="178" spans="1:8" x14ac:dyDescent="0.25">
      <c r="A178" s="4" t="s">
        <v>561</v>
      </c>
      <c r="B178" s="4" t="s">
        <v>562</v>
      </c>
      <c r="C178" s="4" t="s">
        <v>762</v>
      </c>
      <c r="D178" s="4" t="s">
        <v>763</v>
      </c>
      <c r="E178" s="4">
        <v>0</v>
      </c>
      <c r="F178" s="4">
        <v>0</v>
      </c>
      <c r="G178" s="4">
        <v>3</v>
      </c>
      <c r="H178">
        <f t="shared" si="2"/>
        <v>3</v>
      </c>
    </row>
    <row r="179" spans="1:8" x14ac:dyDescent="0.25">
      <c r="A179" s="4" t="s">
        <v>561</v>
      </c>
      <c r="B179" s="4" t="s">
        <v>562</v>
      </c>
      <c r="C179" s="4" t="s">
        <v>764</v>
      </c>
      <c r="D179" s="4" t="s">
        <v>765</v>
      </c>
      <c r="E179" s="4">
        <v>3</v>
      </c>
      <c r="F179" s="4">
        <v>0</v>
      </c>
      <c r="G179" s="4">
        <v>2</v>
      </c>
      <c r="H179">
        <f t="shared" si="2"/>
        <v>5</v>
      </c>
    </row>
    <row r="180" spans="1:8" x14ac:dyDescent="0.25">
      <c r="A180" s="4" t="s">
        <v>563</v>
      </c>
      <c r="B180" s="4" t="s">
        <v>564</v>
      </c>
      <c r="C180" s="4" t="s">
        <v>766</v>
      </c>
      <c r="D180" s="4" t="s">
        <v>767</v>
      </c>
      <c r="E180" s="4">
        <v>4</v>
      </c>
      <c r="F180" s="4">
        <v>0</v>
      </c>
      <c r="G180" s="4">
        <v>3</v>
      </c>
      <c r="H180">
        <f t="shared" si="2"/>
        <v>7</v>
      </c>
    </row>
    <row r="181" spans="1:8" x14ac:dyDescent="0.25">
      <c r="A181" s="4" t="s">
        <v>563</v>
      </c>
      <c r="B181" s="4" t="s">
        <v>564</v>
      </c>
      <c r="C181" s="4" t="s">
        <v>768</v>
      </c>
      <c r="D181" s="4" t="s">
        <v>769</v>
      </c>
      <c r="E181" s="4">
        <v>0</v>
      </c>
      <c r="F181" s="4">
        <v>0</v>
      </c>
      <c r="G181" s="4">
        <v>3</v>
      </c>
      <c r="H181">
        <f t="shared" si="2"/>
        <v>3</v>
      </c>
    </row>
    <row r="182" spans="1:8" x14ac:dyDescent="0.25">
      <c r="A182" s="4" t="s">
        <v>563</v>
      </c>
      <c r="B182" s="4" t="s">
        <v>564</v>
      </c>
      <c r="C182" s="4" t="s">
        <v>770</v>
      </c>
      <c r="D182" s="4" t="s">
        <v>640</v>
      </c>
      <c r="E182" s="4">
        <v>1</v>
      </c>
      <c r="F182" s="4">
        <v>0</v>
      </c>
      <c r="G182" s="4">
        <v>2</v>
      </c>
      <c r="H182">
        <f t="shared" si="2"/>
        <v>3</v>
      </c>
    </row>
    <row r="183" spans="1:8" x14ac:dyDescent="0.25">
      <c r="A183" s="4" t="s">
        <v>563</v>
      </c>
      <c r="B183" s="4" t="s">
        <v>564</v>
      </c>
      <c r="C183" s="4" t="s">
        <v>771</v>
      </c>
      <c r="D183" s="4" t="s">
        <v>772</v>
      </c>
      <c r="E183" s="4">
        <v>0</v>
      </c>
      <c r="F183" s="4">
        <v>0</v>
      </c>
      <c r="G183" s="4">
        <v>1</v>
      </c>
      <c r="H183">
        <f t="shared" si="2"/>
        <v>1</v>
      </c>
    </row>
    <row r="184" spans="1:8" x14ac:dyDescent="0.25">
      <c r="A184" s="4" t="s">
        <v>563</v>
      </c>
      <c r="B184" s="4" t="s">
        <v>564</v>
      </c>
      <c r="C184" s="4" t="s">
        <v>773</v>
      </c>
      <c r="D184" s="4" t="s">
        <v>774</v>
      </c>
      <c r="E184" s="4">
        <v>1</v>
      </c>
      <c r="F184" s="4">
        <v>1</v>
      </c>
      <c r="G184" s="4">
        <v>0</v>
      </c>
      <c r="H184">
        <f t="shared" si="2"/>
        <v>2</v>
      </c>
    </row>
    <row r="185" spans="1:8" x14ac:dyDescent="0.25">
      <c r="A185" s="4" t="s">
        <v>563</v>
      </c>
      <c r="B185" s="4" t="s">
        <v>564</v>
      </c>
      <c r="C185" s="4" t="s">
        <v>659</v>
      </c>
      <c r="D185" s="4" t="s">
        <v>660</v>
      </c>
      <c r="E185" s="4">
        <v>1</v>
      </c>
      <c r="F185" s="4">
        <v>3</v>
      </c>
      <c r="G185" s="4">
        <v>2</v>
      </c>
      <c r="H185">
        <f t="shared" si="2"/>
        <v>6</v>
      </c>
    </row>
    <row r="186" spans="1:8" x14ac:dyDescent="0.25">
      <c r="A186" s="4" t="s">
        <v>563</v>
      </c>
      <c r="B186" s="4" t="s">
        <v>564</v>
      </c>
      <c r="C186" s="4" t="s">
        <v>775</v>
      </c>
      <c r="D186" s="4" t="s">
        <v>776</v>
      </c>
      <c r="E186" s="4">
        <v>0</v>
      </c>
      <c r="F186" s="4">
        <v>0</v>
      </c>
      <c r="G186" s="4">
        <v>5</v>
      </c>
      <c r="H186">
        <f t="shared" si="2"/>
        <v>5</v>
      </c>
    </row>
    <row r="187" spans="1:8" x14ac:dyDescent="0.25">
      <c r="A187" s="4" t="s">
        <v>563</v>
      </c>
      <c r="B187" s="4" t="s">
        <v>564</v>
      </c>
      <c r="C187" s="4" t="s">
        <v>647</v>
      </c>
      <c r="D187" s="4" t="s">
        <v>648</v>
      </c>
      <c r="E187" s="4">
        <v>0</v>
      </c>
      <c r="F187" s="4">
        <v>1</v>
      </c>
      <c r="G187" s="4">
        <v>0</v>
      </c>
      <c r="H187">
        <f t="shared" si="2"/>
        <v>1</v>
      </c>
    </row>
    <row r="188" spans="1:8" x14ac:dyDescent="0.25">
      <c r="A188" s="4" t="s">
        <v>563</v>
      </c>
      <c r="B188" s="4" t="s">
        <v>564</v>
      </c>
      <c r="C188" s="4" t="s">
        <v>777</v>
      </c>
      <c r="D188" s="4" t="s">
        <v>652</v>
      </c>
      <c r="E188" s="4">
        <v>1</v>
      </c>
      <c r="F188" s="4">
        <v>0</v>
      </c>
      <c r="G188" s="4">
        <v>5</v>
      </c>
      <c r="H188">
        <f t="shared" si="2"/>
        <v>6</v>
      </c>
    </row>
    <row r="189" spans="1:8" x14ac:dyDescent="0.25">
      <c r="A189" s="4" t="s">
        <v>563</v>
      </c>
      <c r="B189" s="4" t="s">
        <v>564</v>
      </c>
      <c r="C189" s="4" t="s">
        <v>778</v>
      </c>
      <c r="D189" s="4" t="s">
        <v>779</v>
      </c>
      <c r="E189" s="4">
        <v>0</v>
      </c>
      <c r="F189" s="4">
        <v>1</v>
      </c>
      <c r="G189" s="4">
        <v>3</v>
      </c>
      <c r="H189">
        <f t="shared" si="2"/>
        <v>4</v>
      </c>
    </row>
    <row r="190" spans="1:8" x14ac:dyDescent="0.25">
      <c r="A190" s="4" t="s">
        <v>563</v>
      </c>
      <c r="B190" s="4" t="s">
        <v>564</v>
      </c>
      <c r="C190" s="4" t="s">
        <v>780</v>
      </c>
      <c r="D190" s="4" t="s">
        <v>781</v>
      </c>
      <c r="E190" s="4">
        <v>1</v>
      </c>
      <c r="F190" s="4">
        <v>0</v>
      </c>
      <c r="G190" s="4">
        <v>0</v>
      </c>
      <c r="H190">
        <f t="shared" si="2"/>
        <v>1</v>
      </c>
    </row>
    <row r="191" spans="1:8" x14ac:dyDescent="0.25">
      <c r="A191" s="4" t="s">
        <v>565</v>
      </c>
      <c r="B191" s="4" t="s">
        <v>566</v>
      </c>
      <c r="C191" s="4" t="s">
        <v>782</v>
      </c>
      <c r="D191" s="4" t="s">
        <v>783</v>
      </c>
      <c r="E191" s="4">
        <v>2</v>
      </c>
      <c r="F191" s="4">
        <v>0</v>
      </c>
      <c r="G191" s="4">
        <v>2</v>
      </c>
      <c r="H191">
        <f t="shared" si="2"/>
        <v>4</v>
      </c>
    </row>
    <row r="192" spans="1:8" x14ac:dyDescent="0.25">
      <c r="A192" s="4" t="s">
        <v>565</v>
      </c>
      <c r="B192" s="4" t="s">
        <v>566</v>
      </c>
      <c r="C192" s="4" t="s">
        <v>784</v>
      </c>
      <c r="D192" s="4" t="s">
        <v>785</v>
      </c>
      <c r="E192" s="4">
        <v>3</v>
      </c>
      <c r="F192" s="4">
        <v>1</v>
      </c>
      <c r="G192" s="4">
        <v>1</v>
      </c>
      <c r="H192">
        <f t="shared" si="2"/>
        <v>5</v>
      </c>
    </row>
    <row r="193" spans="1:8" x14ac:dyDescent="0.25">
      <c r="A193" s="4" t="s">
        <v>565</v>
      </c>
      <c r="B193" s="4" t="s">
        <v>566</v>
      </c>
      <c r="C193" s="4" t="s">
        <v>786</v>
      </c>
      <c r="D193" s="4" t="s">
        <v>787</v>
      </c>
      <c r="E193" s="4">
        <v>0</v>
      </c>
      <c r="F193" s="4">
        <v>0</v>
      </c>
      <c r="G193" s="4">
        <v>3</v>
      </c>
      <c r="H193">
        <f t="shared" si="2"/>
        <v>3</v>
      </c>
    </row>
    <row r="194" spans="1:8" x14ac:dyDescent="0.25">
      <c r="A194" s="4" t="s">
        <v>565</v>
      </c>
      <c r="B194" s="4" t="s">
        <v>566</v>
      </c>
      <c r="C194" s="4" t="s">
        <v>788</v>
      </c>
      <c r="D194" s="4" t="s">
        <v>789</v>
      </c>
      <c r="E194" s="4">
        <v>0</v>
      </c>
      <c r="F194" s="4">
        <v>1</v>
      </c>
      <c r="G194" s="4">
        <v>3</v>
      </c>
      <c r="H194">
        <f t="shared" si="2"/>
        <v>4</v>
      </c>
    </row>
    <row r="195" spans="1:8" x14ac:dyDescent="0.25">
      <c r="A195" s="4" t="s">
        <v>565</v>
      </c>
      <c r="B195" s="4" t="s">
        <v>566</v>
      </c>
      <c r="C195" s="4" t="s">
        <v>790</v>
      </c>
      <c r="D195" s="4" t="s">
        <v>791</v>
      </c>
      <c r="E195" s="4">
        <v>0</v>
      </c>
      <c r="F195" s="4">
        <v>0</v>
      </c>
      <c r="G195" s="4">
        <v>2</v>
      </c>
      <c r="H195">
        <f t="shared" si="2"/>
        <v>2</v>
      </c>
    </row>
    <row r="196" spans="1:8" x14ac:dyDescent="0.25">
      <c r="A196" s="4" t="s">
        <v>565</v>
      </c>
      <c r="B196" s="4" t="s">
        <v>566</v>
      </c>
      <c r="C196" s="4" t="s">
        <v>792</v>
      </c>
      <c r="D196" s="4" t="s">
        <v>793</v>
      </c>
      <c r="E196" s="4">
        <v>0</v>
      </c>
      <c r="F196" s="4">
        <v>2</v>
      </c>
      <c r="G196" s="4">
        <v>1</v>
      </c>
      <c r="H196">
        <f t="shared" si="2"/>
        <v>3</v>
      </c>
    </row>
    <row r="197" spans="1:8" x14ac:dyDescent="0.25">
      <c r="A197" s="4" t="s">
        <v>567</v>
      </c>
      <c r="B197" s="4" t="s">
        <v>568</v>
      </c>
      <c r="C197" s="4" t="s">
        <v>794</v>
      </c>
      <c r="D197" s="4" t="s">
        <v>795</v>
      </c>
      <c r="E197" s="4">
        <v>0</v>
      </c>
      <c r="F197" s="4">
        <v>0</v>
      </c>
      <c r="G197" s="4">
        <v>8</v>
      </c>
      <c r="H197">
        <f t="shared" ref="H197:H260" si="3">SUM(E197:G197)</f>
        <v>8</v>
      </c>
    </row>
    <row r="198" spans="1:8" x14ac:dyDescent="0.25">
      <c r="A198" s="4" t="s">
        <v>567</v>
      </c>
      <c r="B198" s="4" t="s">
        <v>568</v>
      </c>
      <c r="C198" s="4" t="s">
        <v>796</v>
      </c>
      <c r="D198" s="4" t="s">
        <v>797</v>
      </c>
      <c r="E198" s="4">
        <v>0</v>
      </c>
      <c r="F198" s="4">
        <v>2</v>
      </c>
      <c r="G198" s="4">
        <v>9</v>
      </c>
      <c r="H198">
        <f t="shared" si="3"/>
        <v>11</v>
      </c>
    </row>
    <row r="199" spans="1:8" x14ac:dyDescent="0.25">
      <c r="A199" s="4" t="s">
        <v>567</v>
      </c>
      <c r="B199" s="4" t="s">
        <v>568</v>
      </c>
      <c r="C199" s="4" t="s">
        <v>798</v>
      </c>
      <c r="D199" s="4" t="s">
        <v>799</v>
      </c>
      <c r="E199" s="4">
        <v>0</v>
      </c>
      <c r="F199" s="4">
        <v>0</v>
      </c>
      <c r="G199" s="4">
        <v>1</v>
      </c>
      <c r="H199">
        <f t="shared" si="3"/>
        <v>1</v>
      </c>
    </row>
    <row r="200" spans="1:8" x14ac:dyDescent="0.25">
      <c r="A200" s="4" t="s">
        <v>567</v>
      </c>
      <c r="B200" s="4" t="s">
        <v>568</v>
      </c>
      <c r="C200" s="4" t="s">
        <v>800</v>
      </c>
      <c r="D200" s="4" t="s">
        <v>801</v>
      </c>
      <c r="E200" s="4">
        <v>0</v>
      </c>
      <c r="F200" s="4">
        <v>0</v>
      </c>
      <c r="G200" s="4">
        <v>1</v>
      </c>
      <c r="H200">
        <f t="shared" si="3"/>
        <v>1</v>
      </c>
    </row>
    <row r="201" spans="1:8" x14ac:dyDescent="0.25">
      <c r="A201" s="4" t="s">
        <v>567</v>
      </c>
      <c r="B201" s="4" t="s">
        <v>568</v>
      </c>
      <c r="C201" s="4" t="s">
        <v>802</v>
      </c>
      <c r="D201" s="4" t="s">
        <v>803</v>
      </c>
      <c r="E201" s="4">
        <v>0</v>
      </c>
      <c r="F201" s="4">
        <v>0</v>
      </c>
      <c r="G201" s="4">
        <v>1</v>
      </c>
      <c r="H201">
        <f t="shared" si="3"/>
        <v>1</v>
      </c>
    </row>
    <row r="202" spans="1:8" x14ac:dyDescent="0.25">
      <c r="A202" s="4" t="s">
        <v>567</v>
      </c>
      <c r="B202" s="4" t="s">
        <v>568</v>
      </c>
      <c r="C202" s="4" t="s">
        <v>804</v>
      </c>
      <c r="D202" s="4" t="s">
        <v>660</v>
      </c>
      <c r="E202" s="4">
        <v>0</v>
      </c>
      <c r="F202" s="4">
        <v>0</v>
      </c>
      <c r="G202" s="4">
        <v>1</v>
      </c>
      <c r="H202">
        <f t="shared" si="3"/>
        <v>1</v>
      </c>
    </row>
    <row r="203" spans="1:8" x14ac:dyDescent="0.25">
      <c r="A203" s="4" t="s">
        <v>567</v>
      </c>
      <c r="B203" s="4" t="s">
        <v>568</v>
      </c>
      <c r="C203" s="4" t="s">
        <v>805</v>
      </c>
      <c r="D203" s="4" t="s">
        <v>806</v>
      </c>
      <c r="E203" s="4">
        <v>0</v>
      </c>
      <c r="F203" s="4">
        <v>0</v>
      </c>
      <c r="G203" s="4">
        <v>1</v>
      </c>
      <c r="H203">
        <f t="shared" si="3"/>
        <v>1</v>
      </c>
    </row>
    <row r="204" spans="1:8" x14ac:dyDescent="0.25">
      <c r="A204" s="4" t="s">
        <v>567</v>
      </c>
      <c r="B204" s="4" t="s">
        <v>568</v>
      </c>
      <c r="C204" s="4" t="s">
        <v>807</v>
      </c>
      <c r="D204" s="4" t="s">
        <v>808</v>
      </c>
      <c r="E204" s="4">
        <v>0</v>
      </c>
      <c r="F204" s="4">
        <v>0</v>
      </c>
      <c r="G204" s="4">
        <v>1</v>
      </c>
      <c r="H204">
        <f t="shared" si="3"/>
        <v>1</v>
      </c>
    </row>
    <row r="205" spans="1:8" x14ac:dyDescent="0.25">
      <c r="A205" s="4" t="s">
        <v>567</v>
      </c>
      <c r="B205" s="4" t="s">
        <v>568</v>
      </c>
      <c r="C205" s="4" t="s">
        <v>809</v>
      </c>
      <c r="D205" s="4" t="s">
        <v>810</v>
      </c>
      <c r="E205" s="4">
        <v>0</v>
      </c>
      <c r="F205" s="4">
        <v>0</v>
      </c>
      <c r="G205" s="4">
        <v>1</v>
      </c>
      <c r="H205">
        <f t="shared" si="3"/>
        <v>1</v>
      </c>
    </row>
    <row r="206" spans="1:8" x14ac:dyDescent="0.25">
      <c r="A206" s="4" t="s">
        <v>567</v>
      </c>
      <c r="B206" s="4" t="s">
        <v>568</v>
      </c>
      <c r="C206" s="4" t="s">
        <v>811</v>
      </c>
      <c r="D206" s="4" t="s">
        <v>776</v>
      </c>
      <c r="E206" s="4">
        <v>0</v>
      </c>
      <c r="F206" s="4">
        <v>0</v>
      </c>
      <c r="G206" s="4">
        <v>1</v>
      </c>
      <c r="H206">
        <f t="shared" si="3"/>
        <v>1</v>
      </c>
    </row>
    <row r="207" spans="1:8" x14ac:dyDescent="0.25">
      <c r="A207" s="4" t="s">
        <v>567</v>
      </c>
      <c r="B207" s="4" t="s">
        <v>568</v>
      </c>
      <c r="C207" s="4" t="s">
        <v>812</v>
      </c>
      <c r="D207" s="4" t="s">
        <v>813</v>
      </c>
      <c r="E207" s="4">
        <v>0</v>
      </c>
      <c r="F207" s="4">
        <v>0</v>
      </c>
      <c r="G207" s="4">
        <v>1</v>
      </c>
      <c r="H207">
        <f t="shared" si="3"/>
        <v>1</v>
      </c>
    </row>
    <row r="208" spans="1:8" x14ac:dyDescent="0.25">
      <c r="A208" s="4" t="s">
        <v>567</v>
      </c>
      <c r="B208" s="4" t="s">
        <v>568</v>
      </c>
      <c r="C208" s="4" t="s">
        <v>814</v>
      </c>
      <c r="D208" s="4" t="s">
        <v>815</v>
      </c>
      <c r="E208" s="4">
        <v>0</v>
      </c>
      <c r="F208" s="4">
        <v>0</v>
      </c>
      <c r="G208" s="4">
        <v>1</v>
      </c>
      <c r="H208">
        <f t="shared" si="3"/>
        <v>1</v>
      </c>
    </row>
    <row r="209" spans="1:8" x14ac:dyDescent="0.25">
      <c r="A209" s="4" t="s">
        <v>567</v>
      </c>
      <c r="B209" s="4" t="s">
        <v>568</v>
      </c>
      <c r="C209" s="4" t="s">
        <v>816</v>
      </c>
      <c r="D209" s="4" t="s">
        <v>817</v>
      </c>
      <c r="E209" s="4">
        <v>0</v>
      </c>
      <c r="F209" s="4">
        <v>0</v>
      </c>
      <c r="G209" s="4">
        <v>1</v>
      </c>
      <c r="H209">
        <f t="shared" si="3"/>
        <v>1</v>
      </c>
    </row>
    <row r="210" spans="1:8" x14ac:dyDescent="0.25">
      <c r="A210" s="4" t="s">
        <v>567</v>
      </c>
      <c r="B210" s="4" t="s">
        <v>568</v>
      </c>
      <c r="C210" s="4" t="s">
        <v>818</v>
      </c>
      <c r="D210" s="4" t="s">
        <v>819</v>
      </c>
      <c r="E210" s="4">
        <v>0</v>
      </c>
      <c r="F210" s="4">
        <v>0</v>
      </c>
      <c r="G210" s="4">
        <v>1</v>
      </c>
      <c r="H210">
        <f t="shared" si="3"/>
        <v>1</v>
      </c>
    </row>
    <row r="211" spans="1:8" x14ac:dyDescent="0.25">
      <c r="A211" s="4" t="s">
        <v>569</v>
      </c>
      <c r="B211" s="4" t="s">
        <v>570</v>
      </c>
      <c r="C211" s="4" t="s">
        <v>820</v>
      </c>
      <c r="D211" s="4" t="s">
        <v>821</v>
      </c>
      <c r="E211" s="4">
        <v>0</v>
      </c>
      <c r="F211" s="4">
        <v>0</v>
      </c>
      <c r="G211" s="4">
        <v>9</v>
      </c>
      <c r="H211">
        <f t="shared" si="3"/>
        <v>9</v>
      </c>
    </row>
    <row r="212" spans="1:8" x14ac:dyDescent="0.25">
      <c r="A212" s="4" t="s">
        <v>569</v>
      </c>
      <c r="B212" s="4" t="s">
        <v>570</v>
      </c>
      <c r="C212" s="4" t="s">
        <v>822</v>
      </c>
      <c r="D212" s="4" t="s">
        <v>648</v>
      </c>
      <c r="E212" s="4">
        <v>0</v>
      </c>
      <c r="F212" s="4">
        <v>0</v>
      </c>
      <c r="G212" s="4">
        <v>7</v>
      </c>
      <c r="H212">
        <f t="shared" si="3"/>
        <v>7</v>
      </c>
    </row>
    <row r="213" spans="1:8" x14ac:dyDescent="0.25">
      <c r="A213" s="4" t="s">
        <v>569</v>
      </c>
      <c r="B213" s="4" t="s">
        <v>570</v>
      </c>
      <c r="C213" s="4" t="s">
        <v>823</v>
      </c>
      <c r="D213" s="4" t="s">
        <v>668</v>
      </c>
      <c r="E213" s="4">
        <v>0</v>
      </c>
      <c r="F213" s="4">
        <v>0</v>
      </c>
      <c r="G213" s="4">
        <v>6</v>
      </c>
      <c r="H213">
        <f t="shared" si="3"/>
        <v>6</v>
      </c>
    </row>
    <row r="214" spans="1:8" x14ac:dyDescent="0.25">
      <c r="A214" s="4" t="s">
        <v>569</v>
      </c>
      <c r="B214" s="4" t="s">
        <v>570</v>
      </c>
      <c r="C214" s="4" t="s">
        <v>824</v>
      </c>
      <c r="D214" s="4" t="s">
        <v>825</v>
      </c>
      <c r="E214" s="4">
        <v>0</v>
      </c>
      <c r="F214" s="4">
        <v>0</v>
      </c>
      <c r="G214" s="4">
        <v>8</v>
      </c>
      <c r="H214">
        <f t="shared" si="3"/>
        <v>8</v>
      </c>
    </row>
    <row r="215" spans="1:8" x14ac:dyDescent="0.25">
      <c r="A215" s="4" t="s">
        <v>571</v>
      </c>
      <c r="B215" s="4" t="s">
        <v>572</v>
      </c>
      <c r="C215" s="4" t="s">
        <v>826</v>
      </c>
      <c r="D215" s="4" t="s">
        <v>826</v>
      </c>
      <c r="E215" s="4">
        <v>1</v>
      </c>
      <c r="F215" s="4">
        <v>0</v>
      </c>
      <c r="G215" s="4">
        <v>0</v>
      </c>
      <c r="H215">
        <f t="shared" si="3"/>
        <v>1</v>
      </c>
    </row>
    <row r="216" spans="1:8" x14ac:dyDescent="0.25">
      <c r="A216" s="4" t="s">
        <v>571</v>
      </c>
      <c r="B216" s="4" t="s">
        <v>572</v>
      </c>
      <c r="C216" s="4" t="s">
        <v>827</v>
      </c>
      <c r="D216" s="4" t="s">
        <v>827</v>
      </c>
      <c r="E216" s="4">
        <v>3</v>
      </c>
      <c r="F216" s="4">
        <v>3</v>
      </c>
      <c r="G216" s="4">
        <v>3</v>
      </c>
      <c r="H216">
        <f t="shared" si="3"/>
        <v>9</v>
      </c>
    </row>
    <row r="217" spans="1:8" x14ac:dyDescent="0.25">
      <c r="A217" s="4" t="s">
        <v>571</v>
      </c>
      <c r="B217" s="4" t="s">
        <v>572</v>
      </c>
      <c r="C217" s="4" t="s">
        <v>828</v>
      </c>
      <c r="D217" s="4" t="s">
        <v>828</v>
      </c>
      <c r="E217" s="4">
        <v>4</v>
      </c>
      <c r="F217" s="4">
        <v>0</v>
      </c>
      <c r="G217" s="4">
        <v>0</v>
      </c>
      <c r="H217">
        <f t="shared" si="3"/>
        <v>4</v>
      </c>
    </row>
    <row r="218" spans="1:8" x14ac:dyDescent="0.25">
      <c r="A218" s="4" t="s">
        <v>571</v>
      </c>
      <c r="B218" s="4" t="s">
        <v>572</v>
      </c>
      <c r="C218" s="4" t="s">
        <v>829</v>
      </c>
      <c r="D218" s="4" t="s">
        <v>829</v>
      </c>
      <c r="E218" s="4">
        <v>0</v>
      </c>
      <c r="F218" s="4">
        <v>2</v>
      </c>
      <c r="G218" s="4">
        <v>6</v>
      </c>
      <c r="H218">
        <f t="shared" si="3"/>
        <v>8</v>
      </c>
    </row>
    <row r="219" spans="1:8" x14ac:dyDescent="0.25">
      <c r="A219" s="4" t="s">
        <v>571</v>
      </c>
      <c r="B219" s="4" t="s">
        <v>572</v>
      </c>
      <c r="C219" s="4" t="s">
        <v>830</v>
      </c>
      <c r="D219" s="4" t="s">
        <v>830</v>
      </c>
      <c r="E219" s="4">
        <v>0</v>
      </c>
      <c r="F219" s="4">
        <v>1</v>
      </c>
      <c r="G219" s="4">
        <v>1</v>
      </c>
      <c r="H219">
        <f t="shared" si="3"/>
        <v>2</v>
      </c>
    </row>
    <row r="220" spans="1:8" x14ac:dyDescent="0.25">
      <c r="A220" s="4" t="s">
        <v>571</v>
      </c>
      <c r="B220" s="4" t="s">
        <v>572</v>
      </c>
      <c r="C220" s="4" t="s">
        <v>831</v>
      </c>
      <c r="D220" s="4" t="s">
        <v>831</v>
      </c>
      <c r="E220" s="4">
        <v>1</v>
      </c>
      <c r="F220" s="4">
        <v>0</v>
      </c>
      <c r="G220" s="4">
        <v>0</v>
      </c>
      <c r="H220">
        <f t="shared" si="3"/>
        <v>1</v>
      </c>
    </row>
    <row r="221" spans="1:8" x14ac:dyDescent="0.25">
      <c r="A221" s="4" t="s">
        <v>571</v>
      </c>
      <c r="B221" s="4" t="s">
        <v>572</v>
      </c>
      <c r="C221" s="4" t="s">
        <v>832</v>
      </c>
      <c r="D221" s="4" t="s">
        <v>832</v>
      </c>
      <c r="E221" s="4">
        <v>0</v>
      </c>
      <c r="F221" s="4">
        <v>1</v>
      </c>
      <c r="G221" s="4">
        <v>0</v>
      </c>
      <c r="H221">
        <f t="shared" si="3"/>
        <v>1</v>
      </c>
    </row>
    <row r="222" spans="1:8" x14ac:dyDescent="0.25">
      <c r="A222" s="4" t="s">
        <v>571</v>
      </c>
      <c r="B222" s="4" t="s">
        <v>572</v>
      </c>
      <c r="C222" s="4" t="s">
        <v>833</v>
      </c>
      <c r="D222" s="4" t="s">
        <v>833</v>
      </c>
      <c r="E222" s="4">
        <v>0</v>
      </c>
      <c r="F222" s="4">
        <v>1</v>
      </c>
      <c r="G222" s="4">
        <v>0</v>
      </c>
      <c r="H222">
        <f t="shared" si="3"/>
        <v>1</v>
      </c>
    </row>
    <row r="223" spans="1:8" x14ac:dyDescent="0.25">
      <c r="A223" s="4" t="s">
        <v>573</v>
      </c>
      <c r="B223" s="4" t="s">
        <v>574</v>
      </c>
      <c r="C223" s="4" t="s">
        <v>834</v>
      </c>
      <c r="D223" s="4" t="s">
        <v>835</v>
      </c>
      <c r="E223" s="4">
        <v>3</v>
      </c>
      <c r="F223" s="4">
        <v>0</v>
      </c>
      <c r="G223" s="4">
        <v>0</v>
      </c>
      <c r="H223">
        <f t="shared" si="3"/>
        <v>3</v>
      </c>
    </row>
    <row r="224" spans="1:8" x14ac:dyDescent="0.25">
      <c r="A224" s="4" t="s">
        <v>573</v>
      </c>
      <c r="B224" s="4" t="s">
        <v>574</v>
      </c>
      <c r="C224" s="4" t="s">
        <v>836</v>
      </c>
      <c r="D224" s="4" t="s">
        <v>837</v>
      </c>
      <c r="E224" s="4">
        <v>2</v>
      </c>
      <c r="F224" s="4">
        <v>0</v>
      </c>
      <c r="G224" s="4">
        <v>1</v>
      </c>
      <c r="H224">
        <f t="shared" si="3"/>
        <v>3</v>
      </c>
    </row>
    <row r="225" spans="1:8" x14ac:dyDescent="0.25">
      <c r="A225" s="4" t="s">
        <v>573</v>
      </c>
      <c r="B225" s="4" t="s">
        <v>574</v>
      </c>
      <c r="C225" s="4" t="s">
        <v>838</v>
      </c>
      <c r="D225" s="4" t="s">
        <v>680</v>
      </c>
      <c r="E225" s="4">
        <v>4</v>
      </c>
      <c r="F225" s="4">
        <v>0</v>
      </c>
      <c r="G225" s="4">
        <v>0</v>
      </c>
      <c r="H225">
        <f t="shared" si="3"/>
        <v>4</v>
      </c>
    </row>
    <row r="226" spans="1:8" x14ac:dyDescent="0.25">
      <c r="A226" s="4" t="s">
        <v>573</v>
      </c>
      <c r="B226" s="4" t="s">
        <v>574</v>
      </c>
      <c r="C226" s="4" t="s">
        <v>839</v>
      </c>
      <c r="D226" s="4" t="s">
        <v>840</v>
      </c>
      <c r="E226" s="4">
        <v>2</v>
      </c>
      <c r="F226" s="4">
        <v>2</v>
      </c>
      <c r="G226" s="4">
        <v>0</v>
      </c>
      <c r="H226">
        <f t="shared" si="3"/>
        <v>4</v>
      </c>
    </row>
    <row r="227" spans="1:8" x14ac:dyDescent="0.25">
      <c r="A227" s="4" t="s">
        <v>573</v>
      </c>
      <c r="B227" s="4" t="s">
        <v>574</v>
      </c>
      <c r="C227" s="4" t="s">
        <v>841</v>
      </c>
      <c r="D227" s="4" t="s">
        <v>736</v>
      </c>
      <c r="E227" s="4">
        <v>1</v>
      </c>
      <c r="F227" s="4">
        <v>1</v>
      </c>
      <c r="G227" s="4">
        <v>0</v>
      </c>
      <c r="H227">
        <f t="shared" si="3"/>
        <v>2</v>
      </c>
    </row>
    <row r="228" spans="1:8" x14ac:dyDescent="0.25">
      <c r="A228" s="4" t="s">
        <v>573</v>
      </c>
      <c r="B228" s="4" t="s">
        <v>574</v>
      </c>
      <c r="C228" s="4" t="s">
        <v>842</v>
      </c>
      <c r="D228" s="4" t="s">
        <v>843</v>
      </c>
      <c r="E228" s="4">
        <v>2</v>
      </c>
      <c r="F228" s="4">
        <v>0</v>
      </c>
      <c r="G228" s="4">
        <v>0</v>
      </c>
      <c r="H228">
        <f t="shared" si="3"/>
        <v>2</v>
      </c>
    </row>
    <row r="229" spans="1:8" x14ac:dyDescent="0.25">
      <c r="A229" s="4" t="s">
        <v>573</v>
      </c>
      <c r="B229" s="4" t="s">
        <v>574</v>
      </c>
      <c r="C229" s="4" t="s">
        <v>844</v>
      </c>
      <c r="D229" s="4" t="s">
        <v>845</v>
      </c>
      <c r="E229" s="4">
        <v>4</v>
      </c>
      <c r="F229" s="4">
        <v>2</v>
      </c>
      <c r="G229" s="4">
        <v>0</v>
      </c>
      <c r="H229">
        <f t="shared" si="3"/>
        <v>6</v>
      </c>
    </row>
    <row r="230" spans="1:8" x14ac:dyDescent="0.25">
      <c r="A230" s="4" t="s">
        <v>573</v>
      </c>
      <c r="B230" s="4" t="s">
        <v>574</v>
      </c>
      <c r="C230" s="4" t="s">
        <v>846</v>
      </c>
      <c r="D230" s="4" t="s">
        <v>847</v>
      </c>
      <c r="E230" s="4">
        <v>5</v>
      </c>
      <c r="F230" s="4">
        <v>0</v>
      </c>
      <c r="G230" s="4">
        <v>0</v>
      </c>
      <c r="H230">
        <f t="shared" si="3"/>
        <v>5</v>
      </c>
    </row>
    <row r="231" spans="1:8" x14ac:dyDescent="0.25">
      <c r="A231" s="4" t="s">
        <v>573</v>
      </c>
      <c r="B231" s="4" t="s">
        <v>574</v>
      </c>
      <c r="C231" s="4" t="s">
        <v>848</v>
      </c>
      <c r="D231" s="4" t="s">
        <v>849</v>
      </c>
      <c r="E231" s="4">
        <v>1</v>
      </c>
      <c r="F231" s="4">
        <v>1</v>
      </c>
      <c r="G231" s="4">
        <v>0</v>
      </c>
      <c r="H231">
        <f t="shared" si="3"/>
        <v>2</v>
      </c>
    </row>
    <row r="232" spans="1:8" x14ac:dyDescent="0.25">
      <c r="A232" s="4" t="s">
        <v>573</v>
      </c>
      <c r="B232" s="4" t="s">
        <v>574</v>
      </c>
      <c r="C232" s="4" t="s">
        <v>850</v>
      </c>
      <c r="D232" s="4" t="s">
        <v>851</v>
      </c>
      <c r="E232" s="4">
        <v>2</v>
      </c>
      <c r="F232" s="4">
        <v>1</v>
      </c>
      <c r="G232" s="4">
        <v>0</v>
      </c>
      <c r="H232">
        <f t="shared" si="3"/>
        <v>3</v>
      </c>
    </row>
    <row r="233" spans="1:8" x14ac:dyDescent="0.25">
      <c r="A233" s="4" t="s">
        <v>573</v>
      </c>
      <c r="B233" s="4" t="s">
        <v>574</v>
      </c>
      <c r="C233" s="4" t="s">
        <v>852</v>
      </c>
      <c r="D233" s="4" t="s">
        <v>853</v>
      </c>
      <c r="E233" s="4">
        <v>3</v>
      </c>
      <c r="F233" s="4">
        <v>1</v>
      </c>
      <c r="G233" s="4">
        <v>0</v>
      </c>
      <c r="H233">
        <f t="shared" si="3"/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workbookViewId="0"/>
  </sheetViews>
  <sheetFormatPr defaultRowHeight="15" x14ac:dyDescent="0.25"/>
  <cols>
    <col min="1" max="1" width="9" customWidth="1"/>
    <col min="2" max="2" width="36" customWidth="1"/>
    <col min="3" max="3" width="11" customWidth="1"/>
    <col min="4" max="4" width="12" customWidth="1"/>
    <col min="5" max="5" width="13" customWidth="1"/>
    <col min="6" max="6" width="11" customWidth="1"/>
    <col min="7" max="7" width="12" customWidth="1"/>
  </cols>
  <sheetData>
    <row r="1" spans="1:7" ht="18.75" x14ac:dyDescent="0.3">
      <c r="A1" s="1" t="s">
        <v>854</v>
      </c>
    </row>
    <row r="4" spans="1:7" ht="30" x14ac:dyDescent="0.25">
      <c r="A4" s="3" t="s">
        <v>525</v>
      </c>
      <c r="B4" s="3" t="s">
        <v>526</v>
      </c>
      <c r="C4" s="3" t="s">
        <v>588</v>
      </c>
      <c r="D4" s="3" t="s">
        <v>589</v>
      </c>
      <c r="E4" s="3" t="s">
        <v>590</v>
      </c>
      <c r="F4" s="3" t="s">
        <v>619</v>
      </c>
      <c r="G4" s="3" t="s">
        <v>855</v>
      </c>
    </row>
    <row r="5" spans="1:7" x14ac:dyDescent="0.25">
      <c r="A5" s="4" t="s">
        <v>529</v>
      </c>
      <c r="B5" s="4" t="s">
        <v>530</v>
      </c>
      <c r="C5" s="4">
        <v>1</v>
      </c>
      <c r="D5" s="4">
        <v>7</v>
      </c>
      <c r="E5" s="4">
        <v>6</v>
      </c>
      <c r="F5" s="4">
        <v>1</v>
      </c>
      <c r="G5" s="4">
        <f t="shared" ref="G5:G27" si="0">SUM(C5:F5)</f>
        <v>15</v>
      </c>
    </row>
    <row r="6" spans="1:7" x14ac:dyDescent="0.25">
      <c r="A6" s="4" t="s">
        <v>531</v>
      </c>
      <c r="B6" s="4" t="s">
        <v>532</v>
      </c>
      <c r="C6" s="4">
        <v>4</v>
      </c>
      <c r="D6" s="4">
        <v>5</v>
      </c>
      <c r="E6" s="4">
        <v>4</v>
      </c>
      <c r="F6" s="4">
        <v>0</v>
      </c>
      <c r="G6" s="4">
        <f t="shared" si="0"/>
        <v>13</v>
      </c>
    </row>
    <row r="7" spans="1:7" x14ac:dyDescent="0.25">
      <c r="A7" s="4" t="s">
        <v>533</v>
      </c>
      <c r="B7" s="4" t="s">
        <v>534</v>
      </c>
      <c r="C7" s="4">
        <v>2</v>
      </c>
      <c r="D7" s="4">
        <v>6</v>
      </c>
      <c r="E7" s="4">
        <v>4</v>
      </c>
      <c r="F7" s="4">
        <v>0</v>
      </c>
      <c r="G7" s="4">
        <f t="shared" si="0"/>
        <v>12</v>
      </c>
    </row>
    <row r="8" spans="1:7" x14ac:dyDescent="0.25">
      <c r="A8" s="4" t="s">
        <v>535</v>
      </c>
      <c r="B8" s="4" t="s">
        <v>536</v>
      </c>
      <c r="C8" s="4">
        <v>2</v>
      </c>
      <c r="D8" s="4">
        <v>6</v>
      </c>
      <c r="E8" s="4">
        <v>4</v>
      </c>
      <c r="F8" s="4">
        <v>0</v>
      </c>
      <c r="G8" s="4">
        <f t="shared" si="0"/>
        <v>12</v>
      </c>
    </row>
    <row r="9" spans="1:7" x14ac:dyDescent="0.25">
      <c r="A9" s="4" t="s">
        <v>537</v>
      </c>
      <c r="B9" s="4" t="s">
        <v>538</v>
      </c>
      <c r="C9" s="4">
        <v>2</v>
      </c>
      <c r="D9" s="4">
        <v>8</v>
      </c>
      <c r="E9" s="4">
        <v>1</v>
      </c>
      <c r="F9" s="4">
        <v>2</v>
      </c>
      <c r="G9" s="4">
        <f t="shared" si="0"/>
        <v>13</v>
      </c>
    </row>
    <row r="10" spans="1:7" x14ac:dyDescent="0.25">
      <c r="A10" s="4" t="s">
        <v>539</v>
      </c>
      <c r="B10" s="4" t="s">
        <v>540</v>
      </c>
      <c r="C10" s="4">
        <v>1</v>
      </c>
      <c r="D10" s="4">
        <v>5</v>
      </c>
      <c r="E10" s="4">
        <v>5</v>
      </c>
      <c r="F10" s="4">
        <v>0</v>
      </c>
      <c r="G10" s="4">
        <f t="shared" si="0"/>
        <v>11</v>
      </c>
    </row>
    <row r="11" spans="1:7" x14ac:dyDescent="0.25">
      <c r="A11" s="4" t="s">
        <v>541</v>
      </c>
      <c r="B11" s="4" t="s">
        <v>542</v>
      </c>
      <c r="C11" s="4">
        <v>2</v>
      </c>
      <c r="D11" s="4">
        <v>3</v>
      </c>
      <c r="E11" s="4">
        <v>1</v>
      </c>
      <c r="F11" s="4">
        <v>0</v>
      </c>
      <c r="G11" s="4">
        <f t="shared" si="0"/>
        <v>6</v>
      </c>
    </row>
    <row r="12" spans="1:7" x14ac:dyDescent="0.25">
      <c r="A12" s="4" t="s">
        <v>543</v>
      </c>
      <c r="B12" s="4" t="s">
        <v>544</v>
      </c>
      <c r="C12" s="4">
        <v>3</v>
      </c>
      <c r="D12" s="4">
        <v>1</v>
      </c>
      <c r="E12" s="4">
        <v>0</v>
      </c>
      <c r="F12" s="4">
        <v>0</v>
      </c>
      <c r="G12" s="4">
        <f t="shared" si="0"/>
        <v>4</v>
      </c>
    </row>
    <row r="13" spans="1:7" x14ac:dyDescent="0.25">
      <c r="A13" s="4" t="s">
        <v>545</v>
      </c>
      <c r="B13" s="4" t="s">
        <v>546</v>
      </c>
      <c r="C13" s="4">
        <v>8</v>
      </c>
      <c r="D13" s="4">
        <v>8</v>
      </c>
      <c r="E13" s="4">
        <v>8</v>
      </c>
      <c r="F13" s="4">
        <v>0</v>
      </c>
      <c r="G13" s="4">
        <f t="shared" si="0"/>
        <v>24</v>
      </c>
    </row>
    <row r="14" spans="1:7" x14ac:dyDescent="0.25">
      <c r="A14" s="4" t="s">
        <v>547</v>
      </c>
      <c r="B14" s="4" t="s">
        <v>548</v>
      </c>
      <c r="C14" s="4">
        <v>8</v>
      </c>
      <c r="D14" s="4">
        <v>10</v>
      </c>
      <c r="E14" s="4">
        <v>1</v>
      </c>
      <c r="F14" s="4">
        <v>1</v>
      </c>
      <c r="G14" s="4">
        <f t="shared" si="0"/>
        <v>20</v>
      </c>
    </row>
    <row r="15" spans="1:7" x14ac:dyDescent="0.25">
      <c r="A15" s="4" t="s">
        <v>549</v>
      </c>
      <c r="B15" s="4" t="s">
        <v>550</v>
      </c>
      <c r="C15" s="4">
        <v>7</v>
      </c>
      <c r="D15" s="4">
        <v>6</v>
      </c>
      <c r="E15" s="4">
        <v>0</v>
      </c>
      <c r="F15" s="4">
        <v>0</v>
      </c>
      <c r="G15" s="4">
        <f t="shared" si="0"/>
        <v>13</v>
      </c>
    </row>
    <row r="16" spans="1:7" x14ac:dyDescent="0.25">
      <c r="A16" s="4" t="s">
        <v>551</v>
      </c>
      <c r="B16" s="4" t="s">
        <v>552</v>
      </c>
      <c r="C16" s="4">
        <v>5</v>
      </c>
      <c r="D16" s="4">
        <v>4</v>
      </c>
      <c r="E16" s="4">
        <v>0</v>
      </c>
      <c r="F16" s="4">
        <v>0</v>
      </c>
      <c r="G16" s="4">
        <f t="shared" si="0"/>
        <v>9</v>
      </c>
    </row>
    <row r="17" spans="1:7" x14ac:dyDescent="0.25">
      <c r="A17" s="4" t="s">
        <v>553</v>
      </c>
      <c r="B17" s="4" t="s">
        <v>554</v>
      </c>
      <c r="C17" s="4">
        <v>1</v>
      </c>
      <c r="D17" s="4">
        <v>8</v>
      </c>
      <c r="E17" s="4">
        <v>2</v>
      </c>
      <c r="F17" s="4">
        <v>0</v>
      </c>
      <c r="G17" s="4">
        <f t="shared" si="0"/>
        <v>11</v>
      </c>
    </row>
    <row r="18" spans="1:7" x14ac:dyDescent="0.25">
      <c r="A18" s="4" t="s">
        <v>555</v>
      </c>
      <c r="B18" s="4" t="s">
        <v>556</v>
      </c>
      <c r="C18" s="4">
        <v>6</v>
      </c>
      <c r="D18" s="4">
        <v>4</v>
      </c>
      <c r="E18" s="4">
        <v>1</v>
      </c>
      <c r="F18" s="4">
        <v>0</v>
      </c>
      <c r="G18" s="4">
        <f t="shared" si="0"/>
        <v>11</v>
      </c>
    </row>
    <row r="19" spans="1:7" x14ac:dyDescent="0.25">
      <c r="A19" s="4" t="s">
        <v>557</v>
      </c>
      <c r="B19" s="4" t="s">
        <v>558</v>
      </c>
      <c r="C19" s="4">
        <v>0</v>
      </c>
      <c r="D19" s="4">
        <v>0</v>
      </c>
      <c r="E19" s="4">
        <v>11</v>
      </c>
      <c r="F19" s="4">
        <v>0</v>
      </c>
      <c r="G19" s="4">
        <f t="shared" si="0"/>
        <v>11</v>
      </c>
    </row>
    <row r="20" spans="1:7" x14ac:dyDescent="0.25">
      <c r="A20" s="4" t="s">
        <v>559</v>
      </c>
      <c r="B20" s="4" t="s">
        <v>560</v>
      </c>
      <c r="C20" s="4">
        <v>1</v>
      </c>
      <c r="D20" s="4">
        <v>3</v>
      </c>
      <c r="E20" s="4">
        <v>0</v>
      </c>
      <c r="F20" s="4">
        <v>0</v>
      </c>
      <c r="G20" s="4">
        <f t="shared" si="0"/>
        <v>4</v>
      </c>
    </row>
    <row r="21" spans="1:7" x14ac:dyDescent="0.25">
      <c r="A21" s="4" t="s">
        <v>561</v>
      </c>
      <c r="B21" s="4" t="s">
        <v>562</v>
      </c>
      <c r="C21" s="4">
        <v>0</v>
      </c>
      <c r="D21" s="4">
        <v>0</v>
      </c>
      <c r="E21" s="4">
        <v>4</v>
      </c>
      <c r="F21" s="4">
        <v>0</v>
      </c>
      <c r="G21" s="4">
        <f t="shared" si="0"/>
        <v>4</v>
      </c>
    </row>
    <row r="22" spans="1:7" x14ac:dyDescent="0.25">
      <c r="A22" s="4" t="s">
        <v>563</v>
      </c>
      <c r="B22" s="4" t="s">
        <v>564</v>
      </c>
      <c r="C22" s="4">
        <v>0</v>
      </c>
      <c r="D22" s="4">
        <v>8</v>
      </c>
      <c r="E22" s="4">
        <v>2</v>
      </c>
      <c r="F22" s="4">
        <v>0</v>
      </c>
      <c r="G22" s="4">
        <f t="shared" si="0"/>
        <v>10</v>
      </c>
    </row>
    <row r="23" spans="1:7" x14ac:dyDescent="0.25">
      <c r="A23" s="4" t="s">
        <v>565</v>
      </c>
      <c r="B23" s="4" t="s">
        <v>566</v>
      </c>
      <c r="C23" s="4">
        <v>0</v>
      </c>
      <c r="D23" s="4">
        <v>3</v>
      </c>
      <c r="E23" s="4">
        <v>3</v>
      </c>
      <c r="F23" s="4">
        <v>0</v>
      </c>
      <c r="G23" s="4">
        <f t="shared" si="0"/>
        <v>6</v>
      </c>
    </row>
    <row r="24" spans="1:7" x14ac:dyDescent="0.25">
      <c r="A24" s="4" t="s">
        <v>567</v>
      </c>
      <c r="B24" s="4" t="s">
        <v>568</v>
      </c>
      <c r="C24" s="4">
        <v>0</v>
      </c>
      <c r="D24" s="4">
        <v>1</v>
      </c>
      <c r="E24" s="4">
        <v>15</v>
      </c>
      <c r="F24" s="4">
        <v>0</v>
      </c>
      <c r="G24" s="4">
        <f t="shared" si="0"/>
        <v>16</v>
      </c>
    </row>
    <row r="25" spans="1:7" x14ac:dyDescent="0.25">
      <c r="A25" s="4" t="s">
        <v>569</v>
      </c>
      <c r="B25" s="4" t="s">
        <v>570</v>
      </c>
      <c r="C25" s="4">
        <v>0</v>
      </c>
      <c r="D25" s="4">
        <v>0</v>
      </c>
      <c r="E25" s="4">
        <v>4</v>
      </c>
      <c r="F25" s="4">
        <v>0</v>
      </c>
      <c r="G25" s="4">
        <f t="shared" si="0"/>
        <v>4</v>
      </c>
    </row>
    <row r="26" spans="1:7" x14ac:dyDescent="0.25">
      <c r="A26" s="4" t="s">
        <v>571</v>
      </c>
      <c r="B26" s="4" t="s">
        <v>572</v>
      </c>
      <c r="C26" s="4">
        <v>3</v>
      </c>
      <c r="D26" s="4">
        <v>4</v>
      </c>
      <c r="E26" s="4">
        <v>1</v>
      </c>
      <c r="F26" s="4">
        <v>0</v>
      </c>
      <c r="G26" s="4">
        <f t="shared" si="0"/>
        <v>8</v>
      </c>
    </row>
    <row r="27" spans="1:7" x14ac:dyDescent="0.25">
      <c r="A27" s="4" t="s">
        <v>573</v>
      </c>
      <c r="B27" s="4" t="s">
        <v>574</v>
      </c>
      <c r="C27" s="4">
        <v>5</v>
      </c>
      <c r="D27" s="4">
        <v>6</v>
      </c>
      <c r="E27" s="4">
        <v>0</v>
      </c>
      <c r="F27" s="4">
        <v>1</v>
      </c>
      <c r="G27" s="4">
        <f t="shared" si="0"/>
        <v>12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9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9" customWidth="1"/>
  </cols>
  <sheetData>
    <row r="1" spans="1:5" ht="18.75" x14ac:dyDescent="0.3">
      <c r="A1" s="1" t="s">
        <v>856</v>
      </c>
    </row>
    <row r="2" spans="1:5" x14ac:dyDescent="0.25">
      <c r="A2" s="2" t="s">
        <v>857</v>
      </c>
    </row>
    <row r="4" spans="1:5" x14ac:dyDescent="0.25">
      <c r="A4" s="7" t="s">
        <v>858</v>
      </c>
    </row>
    <row r="5" spans="1:5" ht="30" x14ac:dyDescent="0.25">
      <c r="A5" s="3" t="s">
        <v>587</v>
      </c>
      <c r="B5" s="3" t="s">
        <v>588</v>
      </c>
      <c r="C5" s="3" t="s">
        <v>589</v>
      </c>
      <c r="D5" s="3" t="s">
        <v>590</v>
      </c>
      <c r="E5" s="3" t="s">
        <v>53</v>
      </c>
    </row>
    <row r="6" spans="1:5" x14ac:dyDescent="0.25">
      <c r="A6" s="4" t="s">
        <v>591</v>
      </c>
      <c r="B6" s="4">
        <v>12</v>
      </c>
      <c r="C6" s="4">
        <v>3</v>
      </c>
      <c r="D6" s="4">
        <v>2</v>
      </c>
      <c r="E6" s="4">
        <f>SUM(B6:D6)</f>
        <v>17</v>
      </c>
    </row>
    <row r="7" spans="1:5" x14ac:dyDescent="0.25">
      <c r="A7" s="4" t="s">
        <v>592</v>
      </c>
      <c r="B7" s="4">
        <v>11</v>
      </c>
      <c r="C7" s="4">
        <v>13</v>
      </c>
      <c r="D7" s="4">
        <v>10</v>
      </c>
      <c r="E7" s="4">
        <f>SUM(B7:D7)</f>
        <v>34</v>
      </c>
    </row>
    <row r="8" spans="1:5" x14ac:dyDescent="0.25">
      <c r="A8" s="4" t="s">
        <v>593</v>
      </c>
      <c r="B8" s="4">
        <v>5</v>
      </c>
      <c r="C8" s="4">
        <v>8</v>
      </c>
      <c r="D8" s="4">
        <v>1</v>
      </c>
      <c r="E8" s="4">
        <f>SUM(B8:D8)</f>
        <v>14</v>
      </c>
    </row>
    <row r="9" spans="1:5" x14ac:dyDescent="0.25">
      <c r="A9" s="6" t="s">
        <v>53</v>
      </c>
      <c r="B9" s="6">
        <f>SUM(B6:B8)</f>
        <v>28</v>
      </c>
      <c r="C9" s="6">
        <f>SUM(C6:C8)</f>
        <v>24</v>
      </c>
      <c r="D9" s="6">
        <f>SUM(D6:D8)</f>
        <v>13</v>
      </c>
      <c r="E9" s="6">
        <f>SUM(E6:E8)</f>
        <v>65</v>
      </c>
    </row>
    <row r="20" spans="1:5" x14ac:dyDescent="0.25">
      <c r="A20" s="7" t="s">
        <v>859</v>
      </c>
    </row>
    <row r="21" spans="1:5" ht="30" x14ac:dyDescent="0.25">
      <c r="A21" s="3" t="s">
        <v>587</v>
      </c>
      <c r="B21" s="3" t="s">
        <v>588</v>
      </c>
      <c r="C21" s="3" t="s">
        <v>589</v>
      </c>
      <c r="D21" s="3" t="s">
        <v>590</v>
      </c>
      <c r="E21" s="3" t="s">
        <v>53</v>
      </c>
    </row>
    <row r="22" spans="1:5" x14ac:dyDescent="0.25">
      <c r="A22" s="4" t="s">
        <v>591</v>
      </c>
      <c r="B22" s="4">
        <v>2</v>
      </c>
      <c r="C22" s="4">
        <v>15</v>
      </c>
      <c r="D22" s="4">
        <v>9</v>
      </c>
      <c r="E22" s="4">
        <f>SUM(B22:D22)</f>
        <v>26</v>
      </c>
    </row>
    <row r="23" spans="1:5" x14ac:dyDescent="0.25">
      <c r="A23" s="4" t="s">
        <v>592</v>
      </c>
      <c r="B23" s="4">
        <v>1</v>
      </c>
      <c r="C23" s="4">
        <v>16</v>
      </c>
      <c r="D23" s="4">
        <v>1</v>
      </c>
      <c r="E23" s="4">
        <f>SUM(B23:D23)</f>
        <v>18</v>
      </c>
    </row>
    <row r="24" spans="1:5" x14ac:dyDescent="0.25">
      <c r="A24" s="4" t="s">
        <v>593</v>
      </c>
      <c r="B24" s="4">
        <v>0</v>
      </c>
      <c r="C24" s="4">
        <v>1</v>
      </c>
      <c r="D24" s="4">
        <v>1</v>
      </c>
      <c r="E24" s="4">
        <f>SUM(B24:D24)</f>
        <v>2</v>
      </c>
    </row>
    <row r="25" spans="1:5" x14ac:dyDescent="0.25">
      <c r="A25" s="6" t="s">
        <v>53</v>
      </c>
      <c r="B25" s="6">
        <f>SUM(B22:B24)</f>
        <v>3</v>
      </c>
      <c r="C25" s="6">
        <f>SUM(C22:C24)</f>
        <v>32</v>
      </c>
      <c r="D25" s="6">
        <f>SUM(D22:D24)</f>
        <v>11</v>
      </c>
      <c r="E25" s="6">
        <f>SUM(E22:E24)</f>
        <v>46</v>
      </c>
    </row>
    <row r="36" spans="1:5" x14ac:dyDescent="0.25">
      <c r="A36" s="7" t="s">
        <v>860</v>
      </c>
    </row>
    <row r="37" spans="1:5" ht="30" x14ac:dyDescent="0.25">
      <c r="A37" s="3" t="s">
        <v>587</v>
      </c>
      <c r="B37" s="3" t="s">
        <v>588</v>
      </c>
      <c r="C37" s="3" t="s">
        <v>589</v>
      </c>
      <c r="D37" s="3" t="s">
        <v>590</v>
      </c>
      <c r="E37" s="3" t="s">
        <v>53</v>
      </c>
    </row>
    <row r="38" spans="1:5" x14ac:dyDescent="0.25">
      <c r="A38" s="4" t="s">
        <v>591</v>
      </c>
      <c r="B38" s="4">
        <v>62</v>
      </c>
      <c r="C38" s="4">
        <v>35</v>
      </c>
      <c r="D38" s="4">
        <v>33</v>
      </c>
      <c r="E38" s="4">
        <f>SUM(B38:D38)</f>
        <v>130</v>
      </c>
    </row>
    <row r="39" spans="1:5" x14ac:dyDescent="0.25">
      <c r="A39" s="4" t="s">
        <v>592</v>
      </c>
      <c r="B39" s="4">
        <v>23</v>
      </c>
      <c r="C39" s="4">
        <v>64</v>
      </c>
      <c r="D39" s="4">
        <v>30</v>
      </c>
      <c r="E39" s="4">
        <f>SUM(B39:D39)</f>
        <v>117</v>
      </c>
    </row>
    <row r="40" spans="1:5" x14ac:dyDescent="0.25">
      <c r="A40" s="4" t="s">
        <v>593</v>
      </c>
      <c r="B40" s="4">
        <v>1</v>
      </c>
      <c r="C40" s="4">
        <v>22</v>
      </c>
      <c r="D40" s="4">
        <v>7</v>
      </c>
      <c r="E40" s="4">
        <f>SUM(B40:D40)</f>
        <v>30</v>
      </c>
    </row>
    <row r="41" spans="1:5" x14ac:dyDescent="0.25">
      <c r="A41" s="6" t="s">
        <v>53</v>
      </c>
      <c r="B41" s="6">
        <f>SUM(B38:B40)</f>
        <v>86</v>
      </c>
      <c r="C41" s="6">
        <f>SUM(C38:C40)</f>
        <v>121</v>
      </c>
      <c r="D41" s="6">
        <f>SUM(D38:D40)</f>
        <v>70</v>
      </c>
      <c r="E41" s="6">
        <f>SUM(E38:E40)</f>
        <v>277</v>
      </c>
    </row>
    <row r="52" spans="1:5" x14ac:dyDescent="0.25">
      <c r="A52" s="7" t="s">
        <v>861</v>
      </c>
    </row>
    <row r="53" spans="1:5" ht="30" x14ac:dyDescent="0.25">
      <c r="A53" s="3" t="s">
        <v>587</v>
      </c>
      <c r="B53" s="3" t="s">
        <v>588</v>
      </c>
      <c r="C53" s="3" t="s">
        <v>589</v>
      </c>
      <c r="D53" s="3" t="s">
        <v>590</v>
      </c>
      <c r="E53" s="3" t="s">
        <v>53</v>
      </c>
    </row>
    <row r="54" spans="1:5" x14ac:dyDescent="0.25">
      <c r="A54" s="4" t="s">
        <v>591</v>
      </c>
      <c r="B54" s="4">
        <v>10</v>
      </c>
      <c r="C54" s="4">
        <v>0</v>
      </c>
      <c r="D54" s="4">
        <v>0</v>
      </c>
      <c r="E54" s="4">
        <f>SUM(B54:D54)</f>
        <v>10</v>
      </c>
    </row>
    <row r="55" spans="1:5" x14ac:dyDescent="0.25">
      <c r="A55" s="4" t="s">
        <v>592</v>
      </c>
      <c r="B55" s="4">
        <v>0</v>
      </c>
      <c r="C55" s="4">
        <v>1</v>
      </c>
      <c r="D55" s="4">
        <v>0</v>
      </c>
      <c r="E55" s="4">
        <f>SUM(B55:D55)</f>
        <v>1</v>
      </c>
    </row>
    <row r="56" spans="1:5" x14ac:dyDescent="0.25">
      <c r="A56" s="4" t="s">
        <v>593</v>
      </c>
      <c r="B56" s="4">
        <v>0</v>
      </c>
      <c r="C56" s="4">
        <v>0</v>
      </c>
      <c r="D56" s="4">
        <v>0</v>
      </c>
      <c r="E56" s="4">
        <f>SUM(B56:D56)</f>
        <v>0</v>
      </c>
    </row>
    <row r="57" spans="1:5" x14ac:dyDescent="0.25">
      <c r="A57" s="6" t="s">
        <v>53</v>
      </c>
      <c r="B57" s="6">
        <f>SUM(B54:B56)</f>
        <v>10</v>
      </c>
      <c r="C57" s="6">
        <f>SUM(C54:C56)</f>
        <v>1</v>
      </c>
      <c r="D57" s="6">
        <f>SUM(D54:D56)</f>
        <v>0</v>
      </c>
      <c r="E57" s="6">
        <f>SUM(E54:E56)</f>
        <v>11</v>
      </c>
    </row>
    <row r="68" spans="1:5" x14ac:dyDescent="0.25">
      <c r="A68" s="7" t="s">
        <v>862</v>
      </c>
    </row>
    <row r="69" spans="1:5" ht="30" x14ac:dyDescent="0.25">
      <c r="A69" s="3" t="s">
        <v>587</v>
      </c>
      <c r="B69" s="3" t="s">
        <v>588</v>
      </c>
      <c r="C69" s="3" t="s">
        <v>589</v>
      </c>
      <c r="D69" s="3" t="s">
        <v>590</v>
      </c>
      <c r="E69" s="3" t="s">
        <v>53</v>
      </c>
    </row>
    <row r="70" spans="1:5" x14ac:dyDescent="0.25">
      <c r="A70" s="4" t="s">
        <v>591</v>
      </c>
      <c r="B70" s="4">
        <v>25</v>
      </c>
      <c r="C70" s="4">
        <v>2</v>
      </c>
      <c r="D70" s="4">
        <v>3</v>
      </c>
      <c r="E70" s="4">
        <f>SUM(B70:D70)</f>
        <v>30</v>
      </c>
    </row>
    <row r="71" spans="1:5" x14ac:dyDescent="0.25">
      <c r="A71" s="4" t="s">
        <v>592</v>
      </c>
      <c r="B71" s="4">
        <v>8</v>
      </c>
      <c r="C71" s="4">
        <v>4</v>
      </c>
      <c r="D71" s="4">
        <v>3</v>
      </c>
      <c r="E71" s="4">
        <f>SUM(B71:D71)</f>
        <v>15</v>
      </c>
    </row>
    <row r="72" spans="1:5" x14ac:dyDescent="0.25">
      <c r="A72" s="4" t="s">
        <v>593</v>
      </c>
      <c r="B72" s="4">
        <v>7</v>
      </c>
      <c r="C72" s="4">
        <v>3</v>
      </c>
      <c r="D72" s="4">
        <v>9</v>
      </c>
      <c r="E72" s="4">
        <f>SUM(B72:D72)</f>
        <v>19</v>
      </c>
    </row>
    <row r="73" spans="1:5" x14ac:dyDescent="0.25">
      <c r="A73" s="6" t="s">
        <v>53</v>
      </c>
      <c r="B73" s="6">
        <f>SUM(B70:B72)</f>
        <v>40</v>
      </c>
      <c r="C73" s="6">
        <f>SUM(C70:C72)</f>
        <v>9</v>
      </c>
      <c r="D73" s="6">
        <f>SUM(D70:D72)</f>
        <v>15</v>
      </c>
      <c r="E73" s="6">
        <f>SUM(E70:E72)</f>
        <v>64</v>
      </c>
    </row>
    <row r="84" spans="1:5" x14ac:dyDescent="0.25">
      <c r="A84" s="7" t="s">
        <v>863</v>
      </c>
    </row>
    <row r="85" spans="1:5" ht="30" x14ac:dyDescent="0.25">
      <c r="A85" s="3" t="s">
        <v>587</v>
      </c>
      <c r="B85" s="3" t="s">
        <v>588</v>
      </c>
      <c r="C85" s="3" t="s">
        <v>589</v>
      </c>
      <c r="D85" s="3" t="s">
        <v>590</v>
      </c>
      <c r="E85" s="3" t="s">
        <v>53</v>
      </c>
    </row>
    <row r="86" spans="1:5" x14ac:dyDescent="0.25">
      <c r="A86" s="4" t="s">
        <v>591</v>
      </c>
      <c r="B86" s="4">
        <v>19</v>
      </c>
      <c r="C86" s="4">
        <v>0</v>
      </c>
      <c r="D86" s="4">
        <v>13</v>
      </c>
      <c r="E86" s="4">
        <f>SUM(B86:D86)</f>
        <v>32</v>
      </c>
    </row>
    <row r="87" spans="1:5" x14ac:dyDescent="0.25">
      <c r="A87" s="4" t="s">
        <v>592</v>
      </c>
      <c r="B87" s="4">
        <v>11</v>
      </c>
      <c r="C87" s="4">
        <v>5</v>
      </c>
      <c r="D87" s="4">
        <v>15</v>
      </c>
      <c r="E87" s="4">
        <f>SUM(B87:D87)</f>
        <v>31</v>
      </c>
    </row>
    <row r="88" spans="1:5" x14ac:dyDescent="0.25">
      <c r="A88" s="4" t="s">
        <v>593</v>
      </c>
      <c r="B88" s="4">
        <v>8</v>
      </c>
      <c r="C88" s="4">
        <v>3</v>
      </c>
      <c r="D88" s="4">
        <v>1</v>
      </c>
      <c r="E88" s="4">
        <f>SUM(B88:D88)</f>
        <v>12</v>
      </c>
    </row>
    <row r="89" spans="1:5" x14ac:dyDescent="0.25">
      <c r="A89" s="6" t="s">
        <v>53</v>
      </c>
      <c r="B89" s="6">
        <f>SUM(B86:B88)</f>
        <v>38</v>
      </c>
      <c r="C89" s="6">
        <f>SUM(C86:C88)</f>
        <v>8</v>
      </c>
      <c r="D89" s="6">
        <f>SUM(D86:D88)</f>
        <v>29</v>
      </c>
      <c r="E89" s="6">
        <f>SUM(E86:E88)</f>
        <v>75</v>
      </c>
    </row>
    <row r="100" spans="1:5" x14ac:dyDescent="0.25">
      <c r="A100" s="7" t="s">
        <v>864</v>
      </c>
    </row>
    <row r="101" spans="1:5" ht="30" x14ac:dyDescent="0.25">
      <c r="A101" s="3" t="s">
        <v>587</v>
      </c>
      <c r="B101" s="3" t="s">
        <v>588</v>
      </c>
      <c r="C101" s="3" t="s">
        <v>589</v>
      </c>
      <c r="D101" s="3" t="s">
        <v>590</v>
      </c>
      <c r="E101" s="3" t="s">
        <v>53</v>
      </c>
    </row>
    <row r="102" spans="1:5" x14ac:dyDescent="0.25">
      <c r="A102" s="4" t="s">
        <v>591</v>
      </c>
      <c r="B102" s="4">
        <v>23</v>
      </c>
      <c r="C102" s="4">
        <v>7</v>
      </c>
      <c r="D102" s="4">
        <v>5</v>
      </c>
      <c r="E102" s="4">
        <f>SUM(B102:D102)</f>
        <v>35</v>
      </c>
    </row>
    <row r="103" spans="1:5" x14ac:dyDescent="0.25">
      <c r="A103" s="4" t="s">
        <v>592</v>
      </c>
      <c r="B103" s="4">
        <v>22</v>
      </c>
      <c r="C103" s="4">
        <v>6</v>
      </c>
      <c r="D103" s="4">
        <v>0</v>
      </c>
      <c r="E103" s="4">
        <f>SUM(B103:D103)</f>
        <v>28</v>
      </c>
    </row>
    <row r="104" spans="1:5" x14ac:dyDescent="0.25">
      <c r="A104" s="4" t="s">
        <v>593</v>
      </c>
      <c r="B104" s="4">
        <v>8</v>
      </c>
      <c r="C104" s="4">
        <v>0</v>
      </c>
      <c r="D104" s="4">
        <v>1</v>
      </c>
      <c r="E104" s="4">
        <f>SUM(B104:D104)</f>
        <v>9</v>
      </c>
    </row>
    <row r="105" spans="1:5" x14ac:dyDescent="0.25">
      <c r="A105" s="6" t="s">
        <v>53</v>
      </c>
      <c r="B105" s="6">
        <f>SUM(B102:B104)</f>
        <v>53</v>
      </c>
      <c r="C105" s="6">
        <f>SUM(C102:C104)</f>
        <v>13</v>
      </c>
      <c r="D105" s="6">
        <f>SUM(D102:D104)</f>
        <v>6</v>
      </c>
      <c r="E105" s="6">
        <f>SUM(E102:E104)</f>
        <v>72</v>
      </c>
    </row>
    <row r="116" spans="1:5" x14ac:dyDescent="0.25">
      <c r="A116" s="7" t="s">
        <v>865</v>
      </c>
    </row>
    <row r="117" spans="1:5" ht="30" x14ac:dyDescent="0.25">
      <c r="A117" s="3" t="s">
        <v>587</v>
      </c>
      <c r="B117" s="3" t="s">
        <v>588</v>
      </c>
      <c r="C117" s="3" t="s">
        <v>589</v>
      </c>
      <c r="D117" s="3" t="s">
        <v>590</v>
      </c>
      <c r="E117" s="3" t="s">
        <v>53</v>
      </c>
    </row>
    <row r="118" spans="1:5" x14ac:dyDescent="0.25">
      <c r="A118" s="4" t="s">
        <v>591</v>
      </c>
      <c r="B118" s="4">
        <v>16</v>
      </c>
      <c r="C118" s="4">
        <v>7</v>
      </c>
      <c r="D118" s="4">
        <v>13</v>
      </c>
      <c r="E118" s="4">
        <f>SUM(B118:D118)</f>
        <v>36</v>
      </c>
    </row>
    <row r="119" spans="1:5" x14ac:dyDescent="0.25">
      <c r="A119" s="4" t="s">
        <v>592</v>
      </c>
      <c r="B119" s="4">
        <v>17</v>
      </c>
      <c r="C119" s="4">
        <v>4</v>
      </c>
      <c r="D119" s="4">
        <v>9</v>
      </c>
      <c r="E119" s="4">
        <f>SUM(B119:D119)</f>
        <v>30</v>
      </c>
    </row>
    <row r="120" spans="1:5" x14ac:dyDescent="0.25">
      <c r="A120" s="4" t="s">
        <v>593</v>
      </c>
      <c r="B120" s="4">
        <v>7</v>
      </c>
      <c r="C120" s="4">
        <v>6</v>
      </c>
      <c r="D120" s="4">
        <v>4</v>
      </c>
      <c r="E120" s="4">
        <f>SUM(B120:D120)</f>
        <v>17</v>
      </c>
    </row>
    <row r="121" spans="1:5" x14ac:dyDescent="0.25">
      <c r="A121" s="6" t="s">
        <v>53</v>
      </c>
      <c r="B121" s="6">
        <f>SUM(B118:B120)</f>
        <v>40</v>
      </c>
      <c r="C121" s="6">
        <f>SUM(C118:C120)</f>
        <v>17</v>
      </c>
      <c r="D121" s="6">
        <f>SUM(D118:D120)</f>
        <v>26</v>
      </c>
      <c r="E121" s="6">
        <f>SUM(E118:E120)</f>
        <v>83</v>
      </c>
    </row>
    <row r="132" spans="1:5" x14ac:dyDescent="0.25">
      <c r="A132" s="7" t="s">
        <v>866</v>
      </c>
    </row>
    <row r="133" spans="1:5" ht="30" x14ac:dyDescent="0.25">
      <c r="A133" s="3" t="s">
        <v>587</v>
      </c>
      <c r="B133" s="3" t="s">
        <v>588</v>
      </c>
      <c r="C133" s="3" t="s">
        <v>589</v>
      </c>
      <c r="D133" s="3" t="s">
        <v>590</v>
      </c>
      <c r="E133" s="3" t="s">
        <v>53</v>
      </c>
    </row>
    <row r="134" spans="1:5" x14ac:dyDescent="0.25">
      <c r="A134" s="4" t="s">
        <v>591</v>
      </c>
      <c r="B134" s="4">
        <v>0</v>
      </c>
      <c r="C134" s="4">
        <v>0</v>
      </c>
      <c r="D134" s="4">
        <v>3</v>
      </c>
      <c r="E134" s="4">
        <f>SUM(B134:D134)</f>
        <v>3</v>
      </c>
    </row>
    <row r="135" spans="1:5" x14ac:dyDescent="0.25">
      <c r="A135" s="4" t="s">
        <v>592</v>
      </c>
      <c r="B135" s="4">
        <v>0</v>
      </c>
      <c r="C135" s="4">
        <v>0</v>
      </c>
      <c r="D135" s="4">
        <v>5</v>
      </c>
      <c r="E135" s="4">
        <f>SUM(B135:D135)</f>
        <v>5</v>
      </c>
    </row>
    <row r="136" spans="1:5" x14ac:dyDescent="0.25">
      <c r="A136" s="4" t="s">
        <v>593</v>
      </c>
      <c r="B136" s="4">
        <v>0</v>
      </c>
      <c r="C136" s="4">
        <v>0</v>
      </c>
      <c r="D136" s="4">
        <v>10</v>
      </c>
      <c r="E136" s="4">
        <f>SUM(B136:D136)</f>
        <v>10</v>
      </c>
    </row>
    <row r="137" spans="1:5" x14ac:dyDescent="0.25">
      <c r="A137" s="6" t="s">
        <v>53</v>
      </c>
      <c r="B137" s="6">
        <f>SUM(B134:B136)</f>
        <v>0</v>
      </c>
      <c r="C137" s="6">
        <f>SUM(C134:C136)</f>
        <v>0</v>
      </c>
      <c r="D137" s="6">
        <f>SUM(D134:D136)</f>
        <v>18</v>
      </c>
      <c r="E137" s="6">
        <f>SUM(E134:E136)</f>
        <v>18</v>
      </c>
    </row>
    <row r="148" spans="1:5" x14ac:dyDescent="0.25">
      <c r="A148" s="7" t="s">
        <v>867</v>
      </c>
    </row>
    <row r="149" spans="1:5" ht="30" x14ac:dyDescent="0.25">
      <c r="A149" s="3" t="s">
        <v>587</v>
      </c>
      <c r="B149" s="3" t="s">
        <v>588</v>
      </c>
      <c r="C149" s="3" t="s">
        <v>589</v>
      </c>
      <c r="D149" s="3" t="s">
        <v>590</v>
      </c>
      <c r="E149" s="3" t="s">
        <v>53</v>
      </c>
    </row>
    <row r="150" spans="1:5" x14ac:dyDescent="0.25">
      <c r="A150" s="4" t="s">
        <v>591</v>
      </c>
      <c r="B150" s="4">
        <v>0</v>
      </c>
      <c r="C150" s="4">
        <v>1</v>
      </c>
      <c r="D150" s="4">
        <v>5</v>
      </c>
      <c r="E150" s="4">
        <f>SUM(B150:D150)</f>
        <v>6</v>
      </c>
    </row>
    <row r="151" spans="1:5" x14ac:dyDescent="0.25">
      <c r="A151" s="4" t="s">
        <v>592</v>
      </c>
      <c r="B151" s="4">
        <v>0</v>
      </c>
      <c r="C151" s="4">
        <v>0</v>
      </c>
      <c r="D151" s="4">
        <v>4</v>
      </c>
      <c r="E151" s="4">
        <f>SUM(B151:D151)</f>
        <v>4</v>
      </c>
    </row>
    <row r="152" spans="1:5" x14ac:dyDescent="0.25">
      <c r="A152" s="4" t="s">
        <v>593</v>
      </c>
      <c r="B152" s="4">
        <v>0</v>
      </c>
      <c r="C152" s="4">
        <v>0</v>
      </c>
      <c r="D152" s="4">
        <v>3</v>
      </c>
      <c r="E152" s="4">
        <f>SUM(B152:D152)</f>
        <v>3</v>
      </c>
    </row>
    <row r="153" spans="1:5" x14ac:dyDescent="0.25">
      <c r="A153" s="6" t="s">
        <v>53</v>
      </c>
      <c r="B153" s="6">
        <f>SUM(B150:B152)</f>
        <v>0</v>
      </c>
      <c r="C153" s="6">
        <f>SUM(C150:C152)</f>
        <v>1</v>
      </c>
      <c r="D153" s="6">
        <f>SUM(D150:D152)</f>
        <v>12</v>
      </c>
      <c r="E153" s="6">
        <f>SUM(E150:E152)</f>
        <v>13</v>
      </c>
    </row>
    <row r="164" spans="1:5" x14ac:dyDescent="0.25">
      <c r="A164" s="7" t="s">
        <v>868</v>
      </c>
    </row>
    <row r="165" spans="1:5" ht="30" x14ac:dyDescent="0.25">
      <c r="A165" s="3" t="s">
        <v>587</v>
      </c>
      <c r="B165" s="3" t="s">
        <v>588</v>
      </c>
      <c r="C165" s="3" t="s">
        <v>589</v>
      </c>
      <c r="D165" s="3" t="s">
        <v>590</v>
      </c>
      <c r="E165" s="3" t="s">
        <v>53</v>
      </c>
    </row>
    <row r="166" spans="1:5" x14ac:dyDescent="0.25">
      <c r="A166" s="4" t="s">
        <v>591</v>
      </c>
      <c r="B166" s="4">
        <v>15</v>
      </c>
      <c r="C166" s="4">
        <v>2</v>
      </c>
      <c r="D166" s="4">
        <v>3</v>
      </c>
      <c r="E166" s="4">
        <f>SUM(B166:D166)</f>
        <v>20</v>
      </c>
    </row>
    <row r="167" spans="1:5" x14ac:dyDescent="0.25">
      <c r="A167" s="4" t="s">
        <v>592</v>
      </c>
      <c r="B167" s="4">
        <v>18</v>
      </c>
      <c r="C167" s="4">
        <v>3</v>
      </c>
      <c r="D167" s="4">
        <v>3</v>
      </c>
      <c r="E167" s="4">
        <f>SUM(B167:D167)</f>
        <v>24</v>
      </c>
    </row>
    <row r="168" spans="1:5" x14ac:dyDescent="0.25">
      <c r="A168" s="4" t="s">
        <v>593</v>
      </c>
      <c r="B168" s="4">
        <v>4</v>
      </c>
      <c r="C168" s="4">
        <v>5</v>
      </c>
      <c r="D168" s="4">
        <v>2</v>
      </c>
      <c r="E168" s="4">
        <f>SUM(B168:D168)</f>
        <v>11</v>
      </c>
    </row>
    <row r="169" spans="1:5" x14ac:dyDescent="0.25">
      <c r="A169" s="6" t="s">
        <v>53</v>
      </c>
      <c r="B169" s="6">
        <f>SUM(B166:B168)</f>
        <v>37</v>
      </c>
      <c r="C169" s="6">
        <f>SUM(C166:C168)</f>
        <v>10</v>
      </c>
      <c r="D169" s="6">
        <f>SUM(D166:D168)</f>
        <v>8</v>
      </c>
      <c r="E169" s="6">
        <f>SUM(E166:E168)</f>
        <v>55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11" customWidth="1"/>
    <col min="4" max="4" width="12" customWidth="1"/>
    <col min="5" max="5" width="13" customWidth="1"/>
    <col min="6" max="6" width="12" customWidth="1"/>
    <col min="7" max="9" width="11" customWidth="1"/>
    <col min="10" max="10" width="12" customWidth="1"/>
  </cols>
  <sheetData>
    <row r="1" spans="1:10" ht="18.75" x14ac:dyDescent="0.3">
      <c r="A1" s="1" t="s">
        <v>869</v>
      </c>
    </row>
    <row r="4" spans="1:10" ht="30" x14ac:dyDescent="0.25">
      <c r="A4" s="3" t="s">
        <v>870</v>
      </c>
      <c r="B4" s="3" t="s">
        <v>583</v>
      </c>
      <c r="C4" s="3" t="s">
        <v>588</v>
      </c>
      <c r="D4" s="3" t="s">
        <v>589</v>
      </c>
      <c r="E4" s="3" t="s">
        <v>590</v>
      </c>
      <c r="F4" s="3" t="s">
        <v>871</v>
      </c>
      <c r="G4" s="3" t="s">
        <v>872</v>
      </c>
      <c r="H4" s="3" t="s">
        <v>873</v>
      </c>
      <c r="I4" s="3" t="s">
        <v>874</v>
      </c>
      <c r="J4" s="3" t="s">
        <v>875</v>
      </c>
    </row>
    <row r="5" spans="1:10" x14ac:dyDescent="0.25">
      <c r="A5" s="4" t="s">
        <v>876</v>
      </c>
      <c r="B5" s="4">
        <v>4</v>
      </c>
      <c r="C5" s="4">
        <v>127</v>
      </c>
      <c r="D5" s="4">
        <v>178</v>
      </c>
      <c r="E5" s="4">
        <v>94</v>
      </c>
      <c r="F5" s="4">
        <f>SUM(C5:E5)</f>
        <v>399</v>
      </c>
      <c r="G5" s="9">
        <f>C5/F5</f>
        <v>0.31829573934837091</v>
      </c>
      <c r="H5" s="4">
        <v>86</v>
      </c>
      <c r="I5" s="4">
        <v>53</v>
      </c>
      <c r="J5" s="4">
        <v>44</v>
      </c>
    </row>
    <row r="6" spans="1:10" x14ac:dyDescent="0.25">
      <c r="A6" s="4" t="s">
        <v>877</v>
      </c>
      <c r="B6" s="4">
        <v>4</v>
      </c>
      <c r="C6" s="4">
        <v>171</v>
      </c>
      <c r="D6" s="4">
        <v>47</v>
      </c>
      <c r="E6" s="4">
        <v>76</v>
      </c>
      <c r="F6" s="4">
        <f>SUM(C6:E6)</f>
        <v>294</v>
      </c>
      <c r="G6" s="9">
        <f>C6/F6</f>
        <v>0.58163265306122447</v>
      </c>
      <c r="H6" s="4">
        <v>83</v>
      </c>
      <c r="I6" s="4">
        <v>16</v>
      </c>
      <c r="J6" s="4">
        <v>34</v>
      </c>
    </row>
    <row r="7" spans="1:10" x14ac:dyDescent="0.25">
      <c r="A7" s="4" t="s">
        <v>58</v>
      </c>
      <c r="B7" s="4">
        <v>2</v>
      </c>
      <c r="C7" s="4">
        <v>0</v>
      </c>
      <c r="D7" s="4">
        <v>1</v>
      </c>
      <c r="E7" s="4">
        <v>30</v>
      </c>
      <c r="F7" s="4">
        <f>SUM(C7:E7)</f>
        <v>31</v>
      </c>
      <c r="G7" s="9">
        <f>C7/F7</f>
        <v>0</v>
      </c>
      <c r="H7" s="4">
        <v>0</v>
      </c>
      <c r="I7" s="4">
        <v>1</v>
      </c>
      <c r="J7" s="4">
        <v>8</v>
      </c>
    </row>
    <row r="8" spans="1:10" x14ac:dyDescent="0.25">
      <c r="A8" s="4" t="s">
        <v>878</v>
      </c>
      <c r="B8" s="4">
        <v>1</v>
      </c>
      <c r="C8" s="4">
        <v>37</v>
      </c>
      <c r="D8" s="4">
        <v>10</v>
      </c>
      <c r="E8" s="4">
        <v>8</v>
      </c>
      <c r="F8" s="4">
        <f>SUM(C8:E8)</f>
        <v>55</v>
      </c>
      <c r="G8" s="9">
        <f>C8/F8</f>
        <v>0.67272727272727273</v>
      </c>
      <c r="H8" s="4">
        <v>15</v>
      </c>
      <c r="I8" s="4">
        <v>2</v>
      </c>
      <c r="J8" s="4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workbookViewId="0"/>
  </sheetViews>
  <sheetFormatPr defaultRowHeight="15" x14ac:dyDescent="0.25"/>
  <cols>
    <col min="1" max="1" width="20" customWidth="1"/>
    <col min="2" max="2" width="14" customWidth="1"/>
    <col min="3" max="3" width="11" customWidth="1"/>
    <col min="4" max="4" width="12" customWidth="1"/>
    <col min="5" max="5" width="13" customWidth="1"/>
    <col min="6" max="6" width="9" customWidth="1"/>
    <col min="7" max="7" width="11" customWidth="1"/>
    <col min="8" max="8" width="10" customWidth="1"/>
    <col min="9" max="9" width="13" customWidth="1"/>
  </cols>
  <sheetData>
    <row r="1" spans="1:9" ht="18.75" x14ac:dyDescent="0.3">
      <c r="A1" s="1" t="s">
        <v>879</v>
      </c>
    </row>
    <row r="4" spans="1:9" ht="30" x14ac:dyDescent="0.25">
      <c r="A4" s="3" t="s">
        <v>870</v>
      </c>
      <c r="B4" s="3" t="s">
        <v>527</v>
      </c>
      <c r="C4" s="3" t="s">
        <v>588</v>
      </c>
      <c r="D4" s="3" t="s">
        <v>589</v>
      </c>
      <c r="E4" s="3" t="s">
        <v>590</v>
      </c>
      <c r="F4" s="3" t="s">
        <v>53</v>
      </c>
      <c r="G4" s="3" t="s">
        <v>872</v>
      </c>
      <c r="H4" s="3" t="s">
        <v>880</v>
      </c>
      <c r="I4" s="3" t="s">
        <v>881</v>
      </c>
    </row>
    <row r="5" spans="1:9" x14ac:dyDescent="0.25">
      <c r="A5" s="4" t="s">
        <v>876</v>
      </c>
      <c r="B5" s="4" t="s">
        <v>48</v>
      </c>
      <c r="C5" s="4">
        <v>28</v>
      </c>
      <c r="D5" s="4">
        <v>24</v>
      </c>
      <c r="E5" s="4">
        <v>13</v>
      </c>
      <c r="F5">
        <f t="shared" ref="F5:F15" si="0">SUM(C5:E5)</f>
        <v>65</v>
      </c>
      <c r="G5" s="10">
        <f t="shared" ref="G5:G15" si="1">C5/F5</f>
        <v>0.43076923076923079</v>
      </c>
      <c r="H5" s="10">
        <f t="shared" ref="H5:H15" si="2">D5/F5</f>
        <v>0.36923076923076925</v>
      </c>
      <c r="I5" s="10">
        <f t="shared" ref="I5:I15" si="3">E5/F5</f>
        <v>0.2</v>
      </c>
    </row>
    <row r="6" spans="1:9" x14ac:dyDescent="0.25">
      <c r="A6" s="4" t="s">
        <v>876</v>
      </c>
      <c r="B6" s="4" t="s">
        <v>50</v>
      </c>
      <c r="C6" s="4">
        <v>3</v>
      </c>
      <c r="D6" s="4">
        <v>32</v>
      </c>
      <c r="E6" s="4">
        <v>11</v>
      </c>
      <c r="F6">
        <f t="shared" si="0"/>
        <v>46</v>
      </c>
      <c r="G6" s="10">
        <f t="shared" si="1"/>
        <v>6.5217391304347824E-2</v>
      </c>
      <c r="H6" s="10">
        <f t="shared" si="2"/>
        <v>0.69565217391304346</v>
      </c>
      <c r="I6" s="10">
        <f t="shared" si="3"/>
        <v>0.2391304347826087</v>
      </c>
    </row>
    <row r="7" spans="1:9" x14ac:dyDescent="0.25">
      <c r="A7" s="4" t="s">
        <v>876</v>
      </c>
      <c r="B7" s="4" t="s">
        <v>51</v>
      </c>
      <c r="C7" s="4">
        <v>86</v>
      </c>
      <c r="D7" s="4">
        <v>121</v>
      </c>
      <c r="E7" s="4">
        <v>70</v>
      </c>
      <c r="F7">
        <f t="shared" si="0"/>
        <v>277</v>
      </c>
      <c r="G7" s="10">
        <f t="shared" si="1"/>
        <v>0.31046931407942241</v>
      </c>
      <c r="H7" s="10">
        <f t="shared" si="2"/>
        <v>0.43682310469314078</v>
      </c>
      <c r="I7" s="10">
        <f t="shared" si="3"/>
        <v>0.25270758122743681</v>
      </c>
    </row>
    <row r="8" spans="1:9" x14ac:dyDescent="0.25">
      <c r="A8" s="4" t="s">
        <v>876</v>
      </c>
      <c r="B8" s="4" t="s">
        <v>52</v>
      </c>
      <c r="C8" s="4">
        <v>10</v>
      </c>
      <c r="D8" s="4">
        <v>1</v>
      </c>
      <c r="E8" s="4">
        <v>0</v>
      </c>
      <c r="F8">
        <f t="shared" si="0"/>
        <v>11</v>
      </c>
      <c r="G8" s="10">
        <f t="shared" si="1"/>
        <v>0.90909090909090906</v>
      </c>
      <c r="H8" s="10">
        <f t="shared" si="2"/>
        <v>9.0909090909090912E-2</v>
      </c>
      <c r="I8" s="10">
        <f t="shared" si="3"/>
        <v>0</v>
      </c>
    </row>
    <row r="9" spans="1:9" x14ac:dyDescent="0.25">
      <c r="A9" s="4" t="s">
        <v>877</v>
      </c>
      <c r="B9" s="4" t="s">
        <v>48</v>
      </c>
      <c r="C9" s="4">
        <v>40</v>
      </c>
      <c r="D9" s="4">
        <v>9</v>
      </c>
      <c r="E9" s="4">
        <v>15</v>
      </c>
      <c r="F9">
        <f t="shared" si="0"/>
        <v>64</v>
      </c>
      <c r="G9" s="10">
        <f t="shared" si="1"/>
        <v>0.625</v>
      </c>
      <c r="H9" s="10">
        <f t="shared" si="2"/>
        <v>0.140625</v>
      </c>
      <c r="I9" s="10">
        <f t="shared" si="3"/>
        <v>0.234375</v>
      </c>
    </row>
    <row r="10" spans="1:9" x14ac:dyDescent="0.25">
      <c r="A10" s="4" t="s">
        <v>877</v>
      </c>
      <c r="B10" s="4" t="s">
        <v>49</v>
      </c>
      <c r="C10" s="4">
        <v>38</v>
      </c>
      <c r="D10" s="4">
        <v>8</v>
      </c>
      <c r="E10" s="4">
        <v>29</v>
      </c>
      <c r="F10">
        <f t="shared" si="0"/>
        <v>75</v>
      </c>
      <c r="G10" s="10">
        <f t="shared" si="1"/>
        <v>0.50666666666666671</v>
      </c>
      <c r="H10" s="10">
        <f t="shared" si="2"/>
        <v>0.10666666666666667</v>
      </c>
      <c r="I10" s="10">
        <f t="shared" si="3"/>
        <v>0.38666666666666666</v>
      </c>
    </row>
    <row r="11" spans="1:9" x14ac:dyDescent="0.25">
      <c r="A11" s="4" t="s">
        <v>877</v>
      </c>
      <c r="B11" s="4" t="s">
        <v>51</v>
      </c>
      <c r="C11" s="4">
        <v>53</v>
      </c>
      <c r="D11" s="4">
        <v>13</v>
      </c>
      <c r="E11" s="4">
        <v>6</v>
      </c>
      <c r="F11">
        <f t="shared" si="0"/>
        <v>72</v>
      </c>
      <c r="G11" s="10">
        <f t="shared" si="1"/>
        <v>0.73611111111111116</v>
      </c>
      <c r="H11" s="10">
        <f t="shared" si="2"/>
        <v>0.18055555555555555</v>
      </c>
      <c r="I11" s="10">
        <f t="shared" si="3"/>
        <v>8.3333333333333329E-2</v>
      </c>
    </row>
    <row r="12" spans="1:9" x14ac:dyDescent="0.25">
      <c r="A12" s="4" t="s">
        <v>877</v>
      </c>
      <c r="B12" s="4" t="s">
        <v>52</v>
      </c>
      <c r="C12" s="4">
        <v>40</v>
      </c>
      <c r="D12" s="4">
        <v>17</v>
      </c>
      <c r="E12" s="4">
        <v>26</v>
      </c>
      <c r="F12">
        <f t="shared" si="0"/>
        <v>83</v>
      </c>
      <c r="G12" s="10">
        <f t="shared" si="1"/>
        <v>0.48192771084337349</v>
      </c>
      <c r="H12" s="10">
        <f t="shared" si="2"/>
        <v>0.20481927710843373</v>
      </c>
      <c r="I12" s="10">
        <f t="shared" si="3"/>
        <v>0.31325301204819278</v>
      </c>
    </row>
    <row r="13" spans="1:9" x14ac:dyDescent="0.25">
      <c r="A13" s="4" t="s">
        <v>58</v>
      </c>
      <c r="B13" s="4" t="s">
        <v>48</v>
      </c>
      <c r="C13" s="4">
        <v>0</v>
      </c>
      <c r="D13" s="4">
        <v>0</v>
      </c>
      <c r="E13" s="4">
        <v>18</v>
      </c>
      <c r="F13">
        <f t="shared" si="0"/>
        <v>18</v>
      </c>
      <c r="G13" s="10">
        <f t="shared" si="1"/>
        <v>0</v>
      </c>
      <c r="H13" s="10">
        <f t="shared" si="2"/>
        <v>0</v>
      </c>
      <c r="I13" s="10">
        <f t="shared" si="3"/>
        <v>1</v>
      </c>
    </row>
    <row r="14" spans="1:9" x14ac:dyDescent="0.25">
      <c r="A14" s="4" t="s">
        <v>58</v>
      </c>
      <c r="B14" s="4" t="s">
        <v>49</v>
      </c>
      <c r="C14" s="4">
        <v>0</v>
      </c>
      <c r="D14" s="4">
        <v>1</v>
      </c>
      <c r="E14" s="4">
        <v>12</v>
      </c>
      <c r="F14">
        <f t="shared" si="0"/>
        <v>13</v>
      </c>
      <c r="G14" s="10">
        <f t="shared" si="1"/>
        <v>0</v>
      </c>
      <c r="H14" s="10">
        <f t="shared" si="2"/>
        <v>7.6923076923076927E-2</v>
      </c>
      <c r="I14" s="10">
        <f t="shared" si="3"/>
        <v>0.92307692307692313</v>
      </c>
    </row>
    <row r="15" spans="1:9" x14ac:dyDescent="0.25">
      <c r="A15" s="4" t="s">
        <v>878</v>
      </c>
      <c r="B15" s="4" t="s">
        <v>48</v>
      </c>
      <c r="C15" s="4">
        <v>37</v>
      </c>
      <c r="D15" s="4">
        <v>10</v>
      </c>
      <c r="E15" s="4">
        <v>8</v>
      </c>
      <c r="F15">
        <f t="shared" si="0"/>
        <v>55</v>
      </c>
      <c r="G15" s="10">
        <f t="shared" si="1"/>
        <v>0.67272727272727273</v>
      </c>
      <c r="H15" s="10">
        <f t="shared" si="2"/>
        <v>0.18181818181818182</v>
      </c>
      <c r="I15" s="10">
        <f t="shared" si="3"/>
        <v>0.14545454545454545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3"/>
  <sheetViews>
    <sheetView workbookViewId="0"/>
  </sheetViews>
  <sheetFormatPr defaultRowHeight="15" x14ac:dyDescent="0.25"/>
  <cols>
    <col min="1" max="1" width="20" customWidth="1"/>
    <col min="2" max="2" width="34" customWidth="1"/>
    <col min="3" max="3" width="11" customWidth="1"/>
    <col min="4" max="4" width="9" customWidth="1"/>
    <col min="5" max="5" width="11" customWidth="1"/>
    <col min="6" max="6" width="9" customWidth="1"/>
    <col min="7" max="7" width="11" customWidth="1"/>
    <col min="8" max="8" width="9" customWidth="1"/>
    <col min="9" max="11" width="12" customWidth="1"/>
  </cols>
  <sheetData>
    <row r="1" spans="1:11" ht="18.75" x14ac:dyDescent="0.3">
      <c r="A1" s="1" t="s">
        <v>882</v>
      </c>
    </row>
    <row r="2" spans="1:11" x14ac:dyDescent="0.25">
      <c r="A2" s="2" t="s">
        <v>883</v>
      </c>
    </row>
    <row r="4" spans="1:11" ht="30" x14ac:dyDescent="0.25">
      <c r="A4" s="3" t="s">
        <v>870</v>
      </c>
      <c r="B4" s="3" t="s">
        <v>526</v>
      </c>
      <c r="C4" s="3" t="s">
        <v>873</v>
      </c>
      <c r="D4" s="3" t="s">
        <v>884</v>
      </c>
      <c r="E4" s="3" t="s">
        <v>885</v>
      </c>
      <c r="F4" s="3" t="s">
        <v>886</v>
      </c>
      <c r="G4" s="3" t="s">
        <v>887</v>
      </c>
      <c r="H4" s="3" t="s">
        <v>888</v>
      </c>
      <c r="I4" s="3" t="s">
        <v>889</v>
      </c>
      <c r="J4" s="3" t="s">
        <v>890</v>
      </c>
      <c r="K4" s="3" t="s">
        <v>891</v>
      </c>
    </row>
    <row r="5" spans="1:11" x14ac:dyDescent="0.25">
      <c r="A5" s="4" t="s">
        <v>876</v>
      </c>
      <c r="B5" s="4" t="s">
        <v>530</v>
      </c>
      <c r="C5" s="4">
        <v>2</v>
      </c>
      <c r="D5" s="4">
        <v>26</v>
      </c>
      <c r="E5" s="4">
        <v>1</v>
      </c>
      <c r="F5" s="4">
        <v>18</v>
      </c>
      <c r="G5" s="4">
        <v>0</v>
      </c>
      <c r="H5" s="4">
        <v>2</v>
      </c>
      <c r="I5" s="9">
        <f t="shared" ref="I5:I23" si="0">IF(D5=0,"–",C5/D5)</f>
        <v>7.6923076923076927E-2</v>
      </c>
      <c r="J5" s="9">
        <f t="shared" ref="J5:J23" si="1">IF(F5=0,"–",E5/F5)</f>
        <v>5.5555555555555552E-2</v>
      </c>
      <c r="K5" s="9">
        <f t="shared" ref="K5:K23" si="2">IF(H5=0,"–",G5/H5)</f>
        <v>0</v>
      </c>
    </row>
    <row r="6" spans="1:11" x14ac:dyDescent="0.25">
      <c r="A6" s="4" t="s">
        <v>876</v>
      </c>
      <c r="B6" s="4" t="s">
        <v>532</v>
      </c>
      <c r="C6" s="4">
        <v>16</v>
      </c>
      <c r="D6" s="4">
        <v>32</v>
      </c>
      <c r="E6" s="4">
        <v>8</v>
      </c>
      <c r="F6" s="4">
        <v>26</v>
      </c>
      <c r="G6" s="4">
        <v>0</v>
      </c>
      <c r="H6" s="4">
        <v>5</v>
      </c>
      <c r="I6" s="9">
        <f t="shared" si="0"/>
        <v>0.5</v>
      </c>
      <c r="J6" s="9">
        <f t="shared" si="1"/>
        <v>0.30769230769230771</v>
      </c>
      <c r="K6" s="9">
        <f t="shared" si="2"/>
        <v>0</v>
      </c>
    </row>
    <row r="7" spans="1:11" x14ac:dyDescent="0.25">
      <c r="A7" s="4" t="s">
        <v>876</v>
      </c>
      <c r="B7" s="4" t="s">
        <v>534</v>
      </c>
      <c r="C7" s="4">
        <v>20</v>
      </c>
      <c r="D7" s="4">
        <v>35</v>
      </c>
      <c r="E7" s="4">
        <v>4</v>
      </c>
      <c r="F7" s="4">
        <v>19</v>
      </c>
      <c r="G7" s="4">
        <v>0</v>
      </c>
      <c r="H7" s="4">
        <v>0</v>
      </c>
      <c r="I7" s="9">
        <f t="shared" si="0"/>
        <v>0.5714285714285714</v>
      </c>
      <c r="J7" s="9">
        <f t="shared" si="1"/>
        <v>0.21052631578947367</v>
      </c>
      <c r="K7" s="9" t="str">
        <f t="shared" si="2"/>
        <v>–</v>
      </c>
    </row>
    <row r="8" spans="1:11" x14ac:dyDescent="0.25">
      <c r="A8" s="4" t="s">
        <v>876</v>
      </c>
      <c r="B8" s="4" t="s">
        <v>536</v>
      </c>
      <c r="C8" s="4">
        <v>16</v>
      </c>
      <c r="D8" s="4">
        <v>25</v>
      </c>
      <c r="E8" s="4">
        <v>8</v>
      </c>
      <c r="F8" s="4">
        <v>27</v>
      </c>
      <c r="G8" s="4">
        <v>1</v>
      </c>
      <c r="H8" s="4">
        <v>10</v>
      </c>
      <c r="I8" s="9">
        <f t="shared" si="0"/>
        <v>0.64</v>
      </c>
      <c r="J8" s="9">
        <f t="shared" si="1"/>
        <v>0.29629629629629628</v>
      </c>
      <c r="K8" s="9">
        <f t="shared" si="2"/>
        <v>0.1</v>
      </c>
    </row>
    <row r="9" spans="1:11" x14ac:dyDescent="0.25">
      <c r="A9" s="4" t="s">
        <v>876</v>
      </c>
      <c r="B9" s="4" t="s">
        <v>538</v>
      </c>
      <c r="C9" s="4">
        <v>9</v>
      </c>
      <c r="D9" s="4">
        <v>17</v>
      </c>
      <c r="E9" s="4">
        <v>2</v>
      </c>
      <c r="F9" s="4">
        <v>21</v>
      </c>
      <c r="G9" s="4">
        <v>0</v>
      </c>
      <c r="H9" s="4">
        <v>11</v>
      </c>
      <c r="I9" s="9">
        <f t="shared" si="0"/>
        <v>0.52941176470588236</v>
      </c>
      <c r="J9" s="9">
        <f t="shared" si="1"/>
        <v>9.5238095238095233E-2</v>
      </c>
      <c r="K9" s="9">
        <f t="shared" si="2"/>
        <v>0</v>
      </c>
    </row>
    <row r="10" spans="1:11" x14ac:dyDescent="0.25">
      <c r="A10" s="4" t="s">
        <v>876</v>
      </c>
      <c r="B10" s="4" t="s">
        <v>540</v>
      </c>
      <c r="C10" s="4">
        <v>1</v>
      </c>
      <c r="D10" s="4">
        <v>21</v>
      </c>
      <c r="E10" s="4">
        <v>1</v>
      </c>
      <c r="F10" s="4">
        <v>24</v>
      </c>
      <c r="G10" s="4">
        <v>0</v>
      </c>
      <c r="H10" s="4">
        <v>4</v>
      </c>
      <c r="I10" s="9">
        <f t="shared" si="0"/>
        <v>4.7619047619047616E-2</v>
      </c>
      <c r="J10" s="9">
        <f t="shared" si="1"/>
        <v>4.1666666666666664E-2</v>
      </c>
      <c r="K10" s="9">
        <f t="shared" si="2"/>
        <v>0</v>
      </c>
    </row>
    <row r="11" spans="1:11" x14ac:dyDescent="0.25">
      <c r="A11" s="4" t="s">
        <v>876</v>
      </c>
      <c r="B11" s="4" t="s">
        <v>542</v>
      </c>
      <c r="C11" s="4">
        <v>8</v>
      </c>
      <c r="D11" s="4">
        <v>9</v>
      </c>
      <c r="E11" s="4">
        <v>0</v>
      </c>
      <c r="F11" s="4">
        <v>15</v>
      </c>
      <c r="G11" s="4">
        <v>3</v>
      </c>
      <c r="H11" s="4">
        <v>4</v>
      </c>
      <c r="I11" s="9">
        <f t="shared" si="0"/>
        <v>0.88888888888888884</v>
      </c>
      <c r="J11" s="9">
        <f t="shared" si="1"/>
        <v>0</v>
      </c>
      <c r="K11" s="9">
        <f t="shared" si="2"/>
        <v>0.75</v>
      </c>
    </row>
    <row r="12" spans="1:11" x14ac:dyDescent="0.25">
      <c r="A12" s="4" t="s">
        <v>876</v>
      </c>
      <c r="B12" s="4" t="s">
        <v>544</v>
      </c>
      <c r="C12" s="4">
        <v>8</v>
      </c>
      <c r="D12" s="4">
        <v>8</v>
      </c>
      <c r="E12" s="4">
        <v>2</v>
      </c>
      <c r="F12" s="4">
        <v>3</v>
      </c>
      <c r="G12" s="4">
        <v>0</v>
      </c>
      <c r="H12" s="4">
        <v>0</v>
      </c>
      <c r="I12" s="9">
        <f t="shared" si="0"/>
        <v>1</v>
      </c>
      <c r="J12" s="9">
        <f t="shared" si="1"/>
        <v>0.66666666666666663</v>
      </c>
      <c r="K12" s="9" t="str">
        <f t="shared" si="2"/>
        <v>–</v>
      </c>
    </row>
    <row r="13" spans="1:11" x14ac:dyDescent="0.25">
      <c r="A13" s="4" t="s">
        <v>876</v>
      </c>
      <c r="B13" s="4" t="s">
        <v>546</v>
      </c>
      <c r="C13" s="4">
        <v>4</v>
      </c>
      <c r="D13" s="4">
        <v>8</v>
      </c>
      <c r="E13" s="4">
        <v>11</v>
      </c>
      <c r="F13" s="4">
        <v>19</v>
      </c>
      <c r="G13" s="4">
        <v>2</v>
      </c>
      <c r="H13" s="4">
        <v>10</v>
      </c>
      <c r="I13" s="9">
        <f t="shared" si="0"/>
        <v>0.5</v>
      </c>
      <c r="J13" s="9">
        <f t="shared" si="1"/>
        <v>0.57894736842105265</v>
      </c>
      <c r="K13" s="9">
        <f t="shared" si="2"/>
        <v>0.2</v>
      </c>
    </row>
    <row r="14" spans="1:11" x14ac:dyDescent="0.25">
      <c r="A14" s="4" t="s">
        <v>877</v>
      </c>
      <c r="B14" s="4" t="s">
        <v>548</v>
      </c>
      <c r="C14" s="4">
        <v>23</v>
      </c>
      <c r="D14" s="4">
        <v>35</v>
      </c>
      <c r="E14" s="4">
        <v>22</v>
      </c>
      <c r="F14" s="4">
        <v>28</v>
      </c>
      <c r="G14" s="4">
        <v>8</v>
      </c>
      <c r="H14" s="4">
        <v>9</v>
      </c>
      <c r="I14" s="9">
        <f t="shared" si="0"/>
        <v>0.65714285714285714</v>
      </c>
      <c r="J14" s="9">
        <f t="shared" si="1"/>
        <v>0.7857142857142857</v>
      </c>
      <c r="K14" s="9">
        <f t="shared" si="2"/>
        <v>0.88888888888888884</v>
      </c>
    </row>
    <row r="15" spans="1:11" x14ac:dyDescent="0.25">
      <c r="A15" s="4" t="s">
        <v>877</v>
      </c>
      <c r="B15" s="4" t="s">
        <v>550</v>
      </c>
      <c r="C15" s="4">
        <v>22</v>
      </c>
      <c r="D15" s="4">
        <v>25</v>
      </c>
      <c r="E15" s="4">
        <v>7</v>
      </c>
      <c r="F15" s="4">
        <v>11</v>
      </c>
      <c r="G15" s="4">
        <v>6</v>
      </c>
      <c r="H15" s="4">
        <v>7</v>
      </c>
      <c r="I15" s="9">
        <f t="shared" si="0"/>
        <v>0.88</v>
      </c>
      <c r="J15" s="9">
        <f t="shared" si="1"/>
        <v>0.63636363636363635</v>
      </c>
      <c r="K15" s="9">
        <f t="shared" si="2"/>
        <v>0.8571428571428571</v>
      </c>
    </row>
    <row r="16" spans="1:11" x14ac:dyDescent="0.25">
      <c r="A16" s="4" t="s">
        <v>877</v>
      </c>
      <c r="B16" s="4" t="s">
        <v>552</v>
      </c>
      <c r="C16" s="4">
        <v>13</v>
      </c>
      <c r="D16" s="4">
        <v>16</v>
      </c>
      <c r="E16" s="4">
        <v>7</v>
      </c>
      <c r="F16" s="4">
        <v>12</v>
      </c>
      <c r="G16" s="4">
        <v>7</v>
      </c>
      <c r="H16" s="4">
        <v>8</v>
      </c>
      <c r="I16" s="9">
        <f t="shared" si="0"/>
        <v>0.8125</v>
      </c>
      <c r="J16" s="9">
        <f t="shared" si="1"/>
        <v>0.58333333333333337</v>
      </c>
      <c r="K16" s="9">
        <f t="shared" si="2"/>
        <v>0.875</v>
      </c>
    </row>
    <row r="17" spans="1:11" x14ac:dyDescent="0.25">
      <c r="A17" s="4" t="s">
        <v>877</v>
      </c>
      <c r="B17" s="4" t="s">
        <v>892</v>
      </c>
      <c r="C17" s="4">
        <v>16</v>
      </c>
      <c r="D17" s="4">
        <v>36</v>
      </c>
      <c r="E17" s="4">
        <v>17</v>
      </c>
      <c r="F17" s="4">
        <v>30</v>
      </c>
      <c r="G17" s="4">
        <v>7</v>
      </c>
      <c r="H17" s="4">
        <v>17</v>
      </c>
      <c r="I17" s="9">
        <f t="shared" si="0"/>
        <v>0.44444444444444442</v>
      </c>
      <c r="J17" s="9">
        <f t="shared" si="1"/>
        <v>0.56666666666666665</v>
      </c>
      <c r="K17" s="9">
        <f t="shared" si="2"/>
        <v>0.41176470588235292</v>
      </c>
    </row>
    <row r="18" spans="1:11" x14ac:dyDescent="0.25">
      <c r="A18" s="4" t="s">
        <v>877</v>
      </c>
      <c r="B18" s="4" t="s">
        <v>564</v>
      </c>
      <c r="C18" s="4">
        <v>6</v>
      </c>
      <c r="D18" s="4">
        <v>16</v>
      </c>
      <c r="E18" s="4">
        <v>3</v>
      </c>
      <c r="F18" s="4">
        <v>19</v>
      </c>
      <c r="G18" s="4">
        <v>1</v>
      </c>
      <c r="H18" s="4">
        <v>4</v>
      </c>
      <c r="I18" s="9">
        <f t="shared" si="0"/>
        <v>0.375</v>
      </c>
      <c r="J18" s="9">
        <f t="shared" si="1"/>
        <v>0.15789473684210525</v>
      </c>
      <c r="K18" s="9">
        <f t="shared" si="2"/>
        <v>0.25</v>
      </c>
    </row>
    <row r="19" spans="1:11" x14ac:dyDescent="0.25">
      <c r="A19" s="4" t="s">
        <v>877</v>
      </c>
      <c r="B19" s="4" t="s">
        <v>566</v>
      </c>
      <c r="C19" s="4">
        <v>3</v>
      </c>
      <c r="D19" s="4">
        <v>5</v>
      </c>
      <c r="E19" s="4">
        <v>1</v>
      </c>
      <c r="F19" s="4">
        <v>4</v>
      </c>
      <c r="G19" s="4">
        <v>1</v>
      </c>
      <c r="H19" s="4">
        <v>12</v>
      </c>
      <c r="I19" s="9">
        <f t="shared" si="0"/>
        <v>0.6</v>
      </c>
      <c r="J19" s="9">
        <f t="shared" si="1"/>
        <v>0.25</v>
      </c>
      <c r="K19" s="9">
        <f t="shared" si="2"/>
        <v>8.3333333333333329E-2</v>
      </c>
    </row>
    <row r="20" spans="1:11" x14ac:dyDescent="0.25">
      <c r="A20" s="4" t="s">
        <v>58</v>
      </c>
      <c r="B20" s="4" t="s">
        <v>568</v>
      </c>
      <c r="C20" s="4">
        <v>0</v>
      </c>
      <c r="D20" s="4">
        <v>6</v>
      </c>
      <c r="E20" s="4">
        <v>0</v>
      </c>
      <c r="F20" s="4">
        <v>4</v>
      </c>
      <c r="G20" s="4">
        <v>0</v>
      </c>
      <c r="H20" s="4">
        <v>3</v>
      </c>
      <c r="I20" s="9">
        <f t="shared" si="0"/>
        <v>0</v>
      </c>
      <c r="J20" s="9">
        <f t="shared" si="1"/>
        <v>0</v>
      </c>
      <c r="K20" s="9">
        <f t="shared" si="2"/>
        <v>0</v>
      </c>
    </row>
    <row r="21" spans="1:11" x14ac:dyDescent="0.25">
      <c r="A21" s="4" t="s">
        <v>58</v>
      </c>
      <c r="B21" s="4" t="s">
        <v>570</v>
      </c>
      <c r="C21" s="4">
        <v>0</v>
      </c>
      <c r="D21" s="4">
        <v>3</v>
      </c>
      <c r="E21" s="4">
        <v>0</v>
      </c>
      <c r="F21" s="4">
        <v>5</v>
      </c>
      <c r="G21" s="4">
        <v>0</v>
      </c>
      <c r="H21" s="4">
        <v>10</v>
      </c>
      <c r="I21" s="9">
        <f t="shared" si="0"/>
        <v>0</v>
      </c>
      <c r="J21" s="9">
        <f t="shared" si="1"/>
        <v>0</v>
      </c>
      <c r="K21" s="9">
        <f t="shared" si="2"/>
        <v>0</v>
      </c>
    </row>
    <row r="22" spans="1:11" x14ac:dyDescent="0.25">
      <c r="A22" s="4" t="s">
        <v>878</v>
      </c>
      <c r="B22" s="4" t="s">
        <v>572</v>
      </c>
      <c r="C22" s="4">
        <v>4</v>
      </c>
      <c r="D22" s="4">
        <v>7</v>
      </c>
      <c r="E22" s="4">
        <v>4</v>
      </c>
      <c r="F22" s="4">
        <v>8</v>
      </c>
      <c r="G22" s="4">
        <v>1</v>
      </c>
      <c r="H22" s="4">
        <v>3</v>
      </c>
      <c r="I22" s="9">
        <f t="shared" si="0"/>
        <v>0.5714285714285714</v>
      </c>
      <c r="J22" s="9">
        <f t="shared" si="1"/>
        <v>0.5</v>
      </c>
      <c r="K22" s="9">
        <f t="shared" si="2"/>
        <v>0.33333333333333331</v>
      </c>
    </row>
    <row r="23" spans="1:11" x14ac:dyDescent="0.25">
      <c r="A23" s="4" t="s">
        <v>878</v>
      </c>
      <c r="B23" s="4" t="s">
        <v>574</v>
      </c>
      <c r="C23" s="4">
        <v>11</v>
      </c>
      <c r="D23" s="4">
        <v>13</v>
      </c>
      <c r="E23" s="4">
        <v>14</v>
      </c>
      <c r="F23" s="4">
        <v>17</v>
      </c>
      <c r="G23" s="4">
        <v>3</v>
      </c>
      <c r="H23" s="4">
        <v>7</v>
      </c>
      <c r="I23" s="9">
        <f t="shared" si="0"/>
        <v>0.84615384615384615</v>
      </c>
      <c r="J23" s="9">
        <f t="shared" si="1"/>
        <v>0.82352941176470584</v>
      </c>
      <c r="K23" s="9">
        <f t="shared" si="2"/>
        <v>0.42857142857142855</v>
      </c>
    </row>
  </sheetData>
  <conditionalFormatting sqref="I5:K23">
    <cfRule type="colorScale" priority="1">
      <colorScale>
        <cfvo type="num" val="0"/>
        <cfvo type="num" val="0.5"/>
        <cfvo type="num" val="1"/>
        <color rgb="FFE24B47"/>
        <color rgb="FFF6D48A"/>
        <color rgb="FF1FA276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6"/>
  <sheetViews>
    <sheetView workbookViewId="0"/>
  </sheetViews>
  <sheetFormatPr defaultRowHeight="15" x14ac:dyDescent="0.25"/>
  <cols>
    <col min="1" max="1" width="14" customWidth="1"/>
    <col min="2" max="2" width="20" customWidth="1"/>
    <col min="3" max="3" width="10" customWidth="1"/>
    <col min="4" max="4" width="11" customWidth="1"/>
    <col min="5" max="5" width="12" customWidth="1"/>
    <col min="6" max="6" width="13" customWidth="1"/>
    <col min="7" max="7" width="9" customWidth="1"/>
  </cols>
  <sheetData>
    <row r="1" spans="1:9" ht="18.75" x14ac:dyDescent="0.3">
      <c r="A1" s="1" t="s">
        <v>893</v>
      </c>
    </row>
    <row r="2" spans="1:9" x14ac:dyDescent="0.25">
      <c r="A2" s="2" t="s">
        <v>894</v>
      </c>
    </row>
    <row r="4" spans="1:9" ht="30" x14ac:dyDescent="0.25">
      <c r="A4" s="3" t="s">
        <v>527</v>
      </c>
      <c r="B4" s="3" t="s">
        <v>870</v>
      </c>
      <c r="C4" s="3" t="s">
        <v>582</v>
      </c>
      <c r="D4" s="3" t="s">
        <v>588</v>
      </c>
      <c r="E4" s="3" t="s">
        <v>589</v>
      </c>
      <c r="F4" s="3" t="s">
        <v>590</v>
      </c>
      <c r="G4" s="3" t="s">
        <v>53</v>
      </c>
      <c r="I4" s="8" t="s">
        <v>895</v>
      </c>
    </row>
    <row r="5" spans="1:9" x14ac:dyDescent="0.25">
      <c r="A5" s="4" t="s">
        <v>48</v>
      </c>
      <c r="B5" s="4" t="s">
        <v>58</v>
      </c>
      <c r="C5" s="4" t="s">
        <v>896</v>
      </c>
      <c r="D5" s="4">
        <v>0</v>
      </c>
      <c r="E5" s="4">
        <v>0</v>
      </c>
      <c r="F5" s="4">
        <v>3</v>
      </c>
      <c r="G5" s="4">
        <f t="shared" ref="G5:G15" si="0">SUM(D5:F5)</f>
        <v>3</v>
      </c>
      <c r="I5" t="str">
        <f t="shared" ref="I5:I15" si="1">A5&amp;" · "&amp;C5</f>
        <v>Office · FR</v>
      </c>
    </row>
    <row r="6" spans="1:9" x14ac:dyDescent="0.25">
      <c r="A6" s="4" t="s">
        <v>48</v>
      </c>
      <c r="B6" s="4" t="s">
        <v>878</v>
      </c>
      <c r="C6" s="4" t="s">
        <v>897</v>
      </c>
      <c r="D6" s="4">
        <v>15</v>
      </c>
      <c r="E6" s="4">
        <v>2</v>
      </c>
      <c r="F6" s="4">
        <v>3</v>
      </c>
      <c r="G6" s="4">
        <f t="shared" si="0"/>
        <v>20</v>
      </c>
      <c r="I6" t="str">
        <f t="shared" si="1"/>
        <v>Office · GR + IT</v>
      </c>
    </row>
    <row r="7" spans="1:9" x14ac:dyDescent="0.25">
      <c r="A7" s="4" t="s">
        <v>48</v>
      </c>
      <c r="B7" s="4" t="s">
        <v>877</v>
      </c>
      <c r="C7" s="4" t="s">
        <v>898</v>
      </c>
      <c r="D7" s="4">
        <v>25</v>
      </c>
      <c r="E7" s="4">
        <v>2</v>
      </c>
      <c r="F7" s="4">
        <v>3</v>
      </c>
      <c r="G7" s="4">
        <f t="shared" si="0"/>
        <v>30</v>
      </c>
      <c r="I7" t="str">
        <f t="shared" si="1"/>
        <v>Office · MX + CO</v>
      </c>
    </row>
    <row r="8" spans="1:9" x14ac:dyDescent="0.25">
      <c r="A8" s="4" t="s">
        <v>48</v>
      </c>
      <c r="B8" s="4" t="s">
        <v>876</v>
      </c>
      <c r="C8" s="4" t="s">
        <v>899</v>
      </c>
      <c r="D8" s="4">
        <v>12</v>
      </c>
      <c r="E8" s="4">
        <v>3</v>
      </c>
      <c r="F8" s="4">
        <v>2</v>
      </c>
      <c r="G8" s="4">
        <f t="shared" si="0"/>
        <v>17</v>
      </c>
      <c r="I8" t="str">
        <f t="shared" si="1"/>
        <v>Office · ES + PT</v>
      </c>
    </row>
    <row r="9" spans="1:9" x14ac:dyDescent="0.25">
      <c r="A9" s="4" t="s">
        <v>49</v>
      </c>
      <c r="B9" s="4" t="s">
        <v>58</v>
      </c>
      <c r="C9" s="4" t="s">
        <v>896</v>
      </c>
      <c r="D9" s="4">
        <v>0</v>
      </c>
      <c r="E9" s="4">
        <v>1</v>
      </c>
      <c r="F9" s="4">
        <v>5</v>
      </c>
      <c r="G9" s="4">
        <f t="shared" si="0"/>
        <v>6</v>
      </c>
      <c r="I9" t="str">
        <f t="shared" si="1"/>
        <v>EPC · FR</v>
      </c>
    </row>
    <row r="10" spans="1:9" x14ac:dyDescent="0.25">
      <c r="A10" s="4" t="s">
        <v>49</v>
      </c>
      <c r="B10" s="4" t="s">
        <v>877</v>
      </c>
      <c r="C10" s="4" t="s">
        <v>898</v>
      </c>
      <c r="D10" s="4">
        <v>19</v>
      </c>
      <c r="E10" s="4">
        <v>0</v>
      </c>
      <c r="F10" s="4">
        <v>13</v>
      </c>
      <c r="G10" s="4">
        <f t="shared" si="0"/>
        <v>32</v>
      </c>
      <c r="I10" t="str">
        <f t="shared" si="1"/>
        <v>EPC · MX + CO</v>
      </c>
    </row>
    <row r="11" spans="1:9" x14ac:dyDescent="0.25">
      <c r="A11" s="4" t="s">
        <v>50</v>
      </c>
      <c r="B11" s="4" t="s">
        <v>876</v>
      </c>
      <c r="C11" s="4" t="s">
        <v>900</v>
      </c>
      <c r="D11" s="4">
        <v>2</v>
      </c>
      <c r="E11" s="4">
        <v>15</v>
      </c>
      <c r="F11" s="4">
        <v>9</v>
      </c>
      <c r="G11" s="4">
        <f t="shared" si="0"/>
        <v>26</v>
      </c>
      <c r="I11" t="str">
        <f t="shared" si="1"/>
        <v>Factory · ES</v>
      </c>
    </row>
    <row r="12" spans="1:9" x14ac:dyDescent="0.25">
      <c r="A12" s="4" t="s">
        <v>51</v>
      </c>
      <c r="B12" s="4" t="s">
        <v>877</v>
      </c>
      <c r="C12" s="4" t="s">
        <v>901</v>
      </c>
      <c r="D12" s="4">
        <v>23</v>
      </c>
      <c r="E12" s="4">
        <v>7</v>
      </c>
      <c r="F12" s="4">
        <v>5</v>
      </c>
      <c r="G12" s="4">
        <f t="shared" si="0"/>
        <v>35</v>
      </c>
      <c r="I12" t="str">
        <f t="shared" si="1"/>
        <v>Warehouse · MX</v>
      </c>
    </row>
    <row r="13" spans="1:9" x14ac:dyDescent="0.25">
      <c r="A13" s="4" t="s">
        <v>51</v>
      </c>
      <c r="B13" s="4" t="s">
        <v>876</v>
      </c>
      <c r="C13" s="4" t="s">
        <v>900</v>
      </c>
      <c r="D13" s="4">
        <v>62</v>
      </c>
      <c r="E13" s="4">
        <v>35</v>
      </c>
      <c r="F13" s="4">
        <v>33</v>
      </c>
      <c r="G13" s="4">
        <f t="shared" si="0"/>
        <v>130</v>
      </c>
      <c r="I13" t="str">
        <f t="shared" si="1"/>
        <v>Warehouse · ES</v>
      </c>
    </row>
    <row r="14" spans="1:9" x14ac:dyDescent="0.25">
      <c r="A14" s="4" t="s">
        <v>52</v>
      </c>
      <c r="B14" s="4" t="s">
        <v>877</v>
      </c>
      <c r="C14" s="4" t="s">
        <v>901</v>
      </c>
      <c r="D14" s="4">
        <v>16</v>
      </c>
      <c r="E14" s="4">
        <v>7</v>
      </c>
      <c r="F14" s="4">
        <v>13</v>
      </c>
      <c r="G14" s="4">
        <f t="shared" si="0"/>
        <v>36</v>
      </c>
      <c r="I14" t="str">
        <f t="shared" si="1"/>
        <v>Services · MX</v>
      </c>
    </row>
    <row r="15" spans="1:9" x14ac:dyDescent="0.25">
      <c r="A15" s="4" t="s">
        <v>52</v>
      </c>
      <c r="B15" s="4" t="s">
        <v>876</v>
      </c>
      <c r="C15" s="4" t="s">
        <v>900</v>
      </c>
      <c r="D15" s="4">
        <v>10</v>
      </c>
      <c r="E15" s="4">
        <v>0</v>
      </c>
      <c r="F15" s="4">
        <v>0</v>
      </c>
      <c r="G15" s="4">
        <f t="shared" si="0"/>
        <v>10</v>
      </c>
      <c r="I15" t="str">
        <f t="shared" si="1"/>
        <v>Services · ES</v>
      </c>
    </row>
    <row r="16" spans="1:9" x14ac:dyDescent="0.25">
      <c r="C16" s="6" t="s">
        <v>53</v>
      </c>
      <c r="D16" s="6">
        <f>SUM(D5:D15)</f>
        <v>184</v>
      </c>
      <c r="E16" s="6">
        <f>SUM(E5:E15)</f>
        <v>72</v>
      </c>
      <c r="F16" s="6">
        <f>SUM(F5:F15)</f>
        <v>89</v>
      </c>
      <c r="G16" s="6">
        <f>SUM(G5:G15)</f>
        <v>345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7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9" customWidth="1"/>
  </cols>
  <sheetData>
    <row r="1" spans="1:5" ht="18.75" x14ac:dyDescent="0.3">
      <c r="A1" s="1" t="s">
        <v>902</v>
      </c>
    </row>
    <row r="4" spans="1:5" x14ac:dyDescent="0.25">
      <c r="A4" s="7" t="s">
        <v>876</v>
      </c>
    </row>
    <row r="5" spans="1:5" ht="30" x14ac:dyDescent="0.25">
      <c r="A5" s="3" t="s">
        <v>527</v>
      </c>
      <c r="B5" s="3" t="s">
        <v>588</v>
      </c>
      <c r="C5" s="3" t="s">
        <v>589</v>
      </c>
      <c r="D5" s="3" t="s">
        <v>590</v>
      </c>
      <c r="E5" s="3" t="s">
        <v>53</v>
      </c>
    </row>
    <row r="6" spans="1:5" x14ac:dyDescent="0.25">
      <c r="A6" s="4" t="s">
        <v>48</v>
      </c>
      <c r="B6" s="4">
        <v>12</v>
      </c>
      <c r="C6" s="4">
        <v>3</v>
      </c>
      <c r="D6" s="4">
        <v>2</v>
      </c>
      <c r="E6" s="4">
        <f>SUM(B6:D6)</f>
        <v>17</v>
      </c>
    </row>
    <row r="7" spans="1:5" x14ac:dyDescent="0.25">
      <c r="A7" s="4" t="s">
        <v>50</v>
      </c>
      <c r="B7" s="4">
        <v>2</v>
      </c>
      <c r="C7" s="4">
        <v>15</v>
      </c>
      <c r="D7" s="4">
        <v>9</v>
      </c>
      <c r="E7" s="4">
        <f>SUM(B7:D7)</f>
        <v>26</v>
      </c>
    </row>
    <row r="8" spans="1:5" x14ac:dyDescent="0.25">
      <c r="A8" s="4" t="s">
        <v>51</v>
      </c>
      <c r="B8" s="4">
        <v>62</v>
      </c>
      <c r="C8" s="4">
        <v>35</v>
      </c>
      <c r="D8" s="4">
        <v>33</v>
      </c>
      <c r="E8" s="4">
        <f>SUM(B8:D8)</f>
        <v>130</v>
      </c>
    </row>
    <row r="9" spans="1:5" x14ac:dyDescent="0.25">
      <c r="A9" s="4" t="s">
        <v>52</v>
      </c>
      <c r="B9" s="4">
        <v>10</v>
      </c>
      <c r="C9" s="4">
        <v>0</v>
      </c>
      <c r="D9" s="4">
        <v>0</v>
      </c>
      <c r="E9" s="4">
        <f>SUM(B9:D9)</f>
        <v>10</v>
      </c>
    </row>
    <row r="21" spans="1:5" x14ac:dyDescent="0.25">
      <c r="A21" s="7" t="s">
        <v>877</v>
      </c>
    </row>
    <row r="22" spans="1:5" ht="30" x14ac:dyDescent="0.25">
      <c r="A22" s="3" t="s">
        <v>527</v>
      </c>
      <c r="B22" s="3" t="s">
        <v>588</v>
      </c>
      <c r="C22" s="3" t="s">
        <v>589</v>
      </c>
      <c r="D22" s="3" t="s">
        <v>590</v>
      </c>
      <c r="E22" s="3" t="s">
        <v>53</v>
      </c>
    </row>
    <row r="23" spans="1:5" x14ac:dyDescent="0.25">
      <c r="A23" s="4" t="s">
        <v>48</v>
      </c>
      <c r="B23" s="4">
        <v>25</v>
      </c>
      <c r="C23" s="4">
        <v>2</v>
      </c>
      <c r="D23" s="4">
        <v>3</v>
      </c>
      <c r="E23" s="4">
        <f>SUM(B23:D23)</f>
        <v>30</v>
      </c>
    </row>
    <row r="24" spans="1:5" x14ac:dyDescent="0.25">
      <c r="A24" s="4" t="s">
        <v>49</v>
      </c>
      <c r="B24" s="4">
        <v>19</v>
      </c>
      <c r="C24" s="4">
        <v>0</v>
      </c>
      <c r="D24" s="4">
        <v>13</v>
      </c>
      <c r="E24" s="4">
        <f>SUM(B24:D24)</f>
        <v>32</v>
      </c>
    </row>
    <row r="25" spans="1:5" x14ac:dyDescent="0.25">
      <c r="A25" s="4" t="s">
        <v>51</v>
      </c>
      <c r="B25" s="4">
        <v>23</v>
      </c>
      <c r="C25" s="4">
        <v>7</v>
      </c>
      <c r="D25" s="4">
        <v>5</v>
      </c>
      <c r="E25" s="4">
        <f>SUM(B25:D25)</f>
        <v>35</v>
      </c>
    </row>
    <row r="26" spans="1:5" x14ac:dyDescent="0.25">
      <c r="A26" s="4" t="s">
        <v>52</v>
      </c>
      <c r="B26" s="4">
        <v>16</v>
      </c>
      <c r="C26" s="4">
        <v>7</v>
      </c>
      <c r="D26" s="4">
        <v>13</v>
      </c>
      <c r="E26" s="4">
        <f>SUM(B26:D26)</f>
        <v>36</v>
      </c>
    </row>
    <row r="38" spans="1:5" x14ac:dyDescent="0.25">
      <c r="A38" s="7" t="s">
        <v>58</v>
      </c>
    </row>
    <row r="39" spans="1:5" ht="30" x14ac:dyDescent="0.25">
      <c r="A39" s="3" t="s">
        <v>527</v>
      </c>
      <c r="B39" s="3" t="s">
        <v>588</v>
      </c>
      <c r="C39" s="3" t="s">
        <v>589</v>
      </c>
      <c r="D39" s="3" t="s">
        <v>590</v>
      </c>
      <c r="E39" s="3" t="s">
        <v>53</v>
      </c>
    </row>
    <row r="40" spans="1:5" x14ac:dyDescent="0.25">
      <c r="A40" s="4" t="s">
        <v>48</v>
      </c>
      <c r="B40" s="4">
        <v>0</v>
      </c>
      <c r="C40" s="4">
        <v>0</v>
      </c>
      <c r="D40" s="4">
        <v>3</v>
      </c>
      <c r="E40" s="4">
        <f>SUM(B40:D40)</f>
        <v>3</v>
      </c>
    </row>
    <row r="41" spans="1:5" x14ac:dyDescent="0.25">
      <c r="A41" s="4" t="s">
        <v>49</v>
      </c>
      <c r="B41" s="4">
        <v>0</v>
      </c>
      <c r="C41" s="4">
        <v>1</v>
      </c>
      <c r="D41" s="4">
        <v>5</v>
      </c>
      <c r="E41" s="4">
        <f>SUM(B41:D41)</f>
        <v>6</v>
      </c>
    </row>
    <row r="55" spans="1:5" x14ac:dyDescent="0.25">
      <c r="A55" s="7" t="s">
        <v>878</v>
      </c>
    </row>
    <row r="56" spans="1:5" ht="30" x14ac:dyDescent="0.25">
      <c r="A56" s="3" t="s">
        <v>527</v>
      </c>
      <c r="B56" s="3" t="s">
        <v>588</v>
      </c>
      <c r="C56" s="3" t="s">
        <v>589</v>
      </c>
      <c r="D56" s="3" t="s">
        <v>590</v>
      </c>
      <c r="E56" s="3" t="s">
        <v>53</v>
      </c>
    </row>
    <row r="57" spans="1:5" x14ac:dyDescent="0.25">
      <c r="A57" s="4" t="s">
        <v>48</v>
      </c>
      <c r="B57" s="4">
        <v>15</v>
      </c>
      <c r="C57" s="4">
        <v>2</v>
      </c>
      <c r="D57" s="4">
        <v>3</v>
      </c>
      <c r="E57" s="4">
        <f>SUM(B57:D57)</f>
        <v>20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/>
  </sheetViews>
  <sheetFormatPr defaultRowHeight="15" x14ac:dyDescent="0.25"/>
  <cols>
    <col min="1" max="1" width="20" customWidth="1"/>
    <col min="2" max="2" width="11" customWidth="1"/>
    <col min="3" max="3" width="12" customWidth="1"/>
    <col min="4" max="4" width="13" customWidth="1"/>
    <col min="5" max="5" width="9" customWidth="1"/>
    <col min="6" max="6" width="11" customWidth="1"/>
    <col min="7" max="7" width="10" customWidth="1"/>
    <col min="8" max="8" width="13" customWidth="1"/>
  </cols>
  <sheetData>
    <row r="1" spans="1:8" ht="18.75" x14ac:dyDescent="0.3">
      <c r="A1" s="1" t="s">
        <v>903</v>
      </c>
    </row>
    <row r="4" spans="1:8" ht="30" x14ac:dyDescent="0.25">
      <c r="A4" s="3" t="s">
        <v>870</v>
      </c>
      <c r="B4" s="3" t="s">
        <v>588</v>
      </c>
      <c r="C4" s="3" t="s">
        <v>589</v>
      </c>
      <c r="D4" s="3" t="s">
        <v>590</v>
      </c>
      <c r="E4" s="3" t="s">
        <v>53</v>
      </c>
      <c r="F4" s="3" t="s">
        <v>872</v>
      </c>
      <c r="G4" s="3" t="s">
        <v>880</v>
      </c>
      <c r="H4" s="3" t="s">
        <v>881</v>
      </c>
    </row>
    <row r="5" spans="1:8" x14ac:dyDescent="0.25">
      <c r="A5" s="4" t="s">
        <v>876</v>
      </c>
      <c r="B5" s="4">
        <v>86</v>
      </c>
      <c r="C5" s="4">
        <v>53</v>
      </c>
      <c r="D5" s="4">
        <v>44</v>
      </c>
      <c r="E5" s="4">
        <f>SUM(B5:D5)</f>
        <v>183</v>
      </c>
      <c r="F5" s="9">
        <f>B5/E5</f>
        <v>0.46994535519125685</v>
      </c>
      <c r="G5" s="9">
        <f>C5/E5</f>
        <v>0.2896174863387978</v>
      </c>
      <c r="H5" s="9">
        <f>D5/E5</f>
        <v>0.24043715846994534</v>
      </c>
    </row>
    <row r="6" spans="1:8" x14ac:dyDescent="0.25">
      <c r="A6" s="4" t="s">
        <v>877</v>
      </c>
      <c r="B6" s="4">
        <v>83</v>
      </c>
      <c r="C6" s="4">
        <v>16</v>
      </c>
      <c r="D6" s="4">
        <v>34</v>
      </c>
      <c r="E6" s="4">
        <f>SUM(B6:D6)</f>
        <v>133</v>
      </c>
      <c r="F6" s="9">
        <f>B6/E6</f>
        <v>0.62406015037593987</v>
      </c>
      <c r="G6" s="9">
        <f>C6/E6</f>
        <v>0.12030075187969924</v>
      </c>
      <c r="H6" s="9">
        <f>D6/E6</f>
        <v>0.25563909774436089</v>
      </c>
    </row>
    <row r="7" spans="1:8" x14ac:dyDescent="0.25">
      <c r="A7" s="4" t="s">
        <v>58</v>
      </c>
      <c r="B7" s="4">
        <v>0</v>
      </c>
      <c r="C7" s="4">
        <v>1</v>
      </c>
      <c r="D7" s="4">
        <v>8</v>
      </c>
      <c r="E7" s="4">
        <f>SUM(B7:D7)</f>
        <v>9</v>
      </c>
      <c r="F7" s="9">
        <f>B7/E7</f>
        <v>0</v>
      </c>
      <c r="G7" s="9">
        <f>C7/E7</f>
        <v>0.1111111111111111</v>
      </c>
      <c r="H7" s="9">
        <f>D7/E7</f>
        <v>0.88888888888888884</v>
      </c>
    </row>
    <row r="8" spans="1:8" x14ac:dyDescent="0.25">
      <c r="A8" s="4" t="s">
        <v>878</v>
      </c>
      <c r="B8" s="4">
        <v>15</v>
      </c>
      <c r="C8" s="4">
        <v>2</v>
      </c>
      <c r="D8" s="4">
        <v>3</v>
      </c>
      <c r="E8" s="4">
        <f>SUM(B8:D8)</f>
        <v>20</v>
      </c>
      <c r="F8" s="9">
        <f>B8/E8</f>
        <v>0.75</v>
      </c>
      <c r="G8" s="9">
        <f>C8/E8</f>
        <v>0.1</v>
      </c>
      <c r="H8" s="9">
        <f>D8/E8</f>
        <v>0.15</v>
      </c>
    </row>
    <row r="12" spans="1:8" ht="30" x14ac:dyDescent="0.25">
      <c r="A12" s="3" t="s">
        <v>527</v>
      </c>
      <c r="B12" s="3" t="s">
        <v>588</v>
      </c>
      <c r="C12" s="3" t="s">
        <v>589</v>
      </c>
      <c r="D12" s="3" t="s">
        <v>590</v>
      </c>
      <c r="E12" s="3" t="s">
        <v>53</v>
      </c>
      <c r="F12" s="3" t="s">
        <v>872</v>
      </c>
      <c r="G12" s="3" t="s">
        <v>880</v>
      </c>
      <c r="H12" s="3" t="s">
        <v>881</v>
      </c>
    </row>
    <row r="13" spans="1:8" x14ac:dyDescent="0.25">
      <c r="A13" s="4" t="s">
        <v>48</v>
      </c>
      <c r="B13" s="4">
        <v>52</v>
      </c>
      <c r="C13" s="4">
        <v>7</v>
      </c>
      <c r="D13" s="4">
        <v>11</v>
      </c>
      <c r="E13" s="4">
        <f>SUM(B13:D13)</f>
        <v>70</v>
      </c>
      <c r="F13" s="9">
        <f>B13/E13</f>
        <v>0.74285714285714288</v>
      </c>
      <c r="G13" s="9">
        <f>C13/E13</f>
        <v>0.1</v>
      </c>
      <c r="H13" s="9">
        <f>D13/E13</f>
        <v>0.15714285714285714</v>
      </c>
    </row>
    <row r="14" spans="1:8" x14ac:dyDescent="0.25">
      <c r="A14" s="4" t="s">
        <v>49</v>
      </c>
      <c r="B14" s="4">
        <v>19</v>
      </c>
      <c r="C14" s="4">
        <v>1</v>
      </c>
      <c r="D14" s="4">
        <v>18</v>
      </c>
      <c r="E14" s="4">
        <f>SUM(B14:D14)</f>
        <v>38</v>
      </c>
      <c r="F14" s="9">
        <f>B14/E14</f>
        <v>0.5</v>
      </c>
      <c r="G14" s="9">
        <f>C14/E14</f>
        <v>2.6315789473684209E-2</v>
      </c>
      <c r="H14" s="9">
        <f>D14/E14</f>
        <v>0.47368421052631576</v>
      </c>
    </row>
    <row r="15" spans="1:8" x14ac:dyDescent="0.25">
      <c r="A15" s="4" t="s">
        <v>50</v>
      </c>
      <c r="B15" s="4">
        <v>2</v>
      </c>
      <c r="C15" s="4">
        <v>15</v>
      </c>
      <c r="D15" s="4">
        <v>9</v>
      </c>
      <c r="E15" s="4">
        <f>SUM(B15:D15)</f>
        <v>26</v>
      </c>
      <c r="F15" s="9">
        <f>B15/E15</f>
        <v>7.6923076923076927E-2</v>
      </c>
      <c r="G15" s="9">
        <f>C15/E15</f>
        <v>0.57692307692307687</v>
      </c>
      <c r="H15" s="9">
        <f>D15/E15</f>
        <v>0.34615384615384615</v>
      </c>
    </row>
    <row r="16" spans="1:8" x14ac:dyDescent="0.25">
      <c r="A16" s="4" t="s">
        <v>51</v>
      </c>
      <c r="B16" s="4">
        <v>85</v>
      </c>
      <c r="C16" s="4">
        <v>42</v>
      </c>
      <c r="D16" s="4">
        <v>38</v>
      </c>
      <c r="E16" s="4">
        <f>SUM(B16:D16)</f>
        <v>165</v>
      </c>
      <c r="F16" s="9">
        <f>B16/E16</f>
        <v>0.51515151515151514</v>
      </c>
      <c r="G16" s="9">
        <f>C16/E16</f>
        <v>0.25454545454545452</v>
      </c>
      <c r="H16" s="9">
        <f>D16/E16</f>
        <v>0.23030303030303031</v>
      </c>
    </row>
    <row r="17" spans="1:8" x14ac:dyDescent="0.25">
      <c r="A17" s="4" t="s">
        <v>52</v>
      </c>
      <c r="B17" s="4">
        <v>26</v>
      </c>
      <c r="C17" s="4">
        <v>7</v>
      </c>
      <c r="D17" s="4">
        <v>13</v>
      </c>
      <c r="E17" s="4">
        <f>SUM(B17:D17)</f>
        <v>46</v>
      </c>
      <c r="F17" s="9">
        <f>B17/E17</f>
        <v>0.56521739130434778</v>
      </c>
      <c r="G17" s="9">
        <f>C17/E17</f>
        <v>0.15217391304347827</v>
      </c>
      <c r="H17" s="9">
        <f>D17/E17</f>
        <v>0.28260869565217389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7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9" customWidth="1"/>
  </cols>
  <sheetData>
    <row r="1" spans="1:5" ht="18.75" x14ac:dyDescent="0.3">
      <c r="A1" s="1" t="s">
        <v>904</v>
      </c>
    </row>
    <row r="2" spans="1:5" x14ac:dyDescent="0.25">
      <c r="A2" s="2" t="s">
        <v>905</v>
      </c>
    </row>
    <row r="4" spans="1:5" x14ac:dyDescent="0.25">
      <c r="A4" s="7" t="s">
        <v>876</v>
      </c>
    </row>
    <row r="5" spans="1:5" ht="30" x14ac:dyDescent="0.25">
      <c r="A5" s="3" t="s">
        <v>587</v>
      </c>
      <c r="B5" s="3" t="s">
        <v>588</v>
      </c>
      <c r="C5" s="3" t="s">
        <v>589</v>
      </c>
      <c r="D5" s="3" t="s">
        <v>590</v>
      </c>
      <c r="E5" s="3" t="s">
        <v>53</v>
      </c>
    </row>
    <row r="6" spans="1:5" x14ac:dyDescent="0.25">
      <c r="A6" s="4" t="s">
        <v>591</v>
      </c>
      <c r="B6" s="4">
        <v>86</v>
      </c>
      <c r="C6" s="4">
        <v>53</v>
      </c>
      <c r="D6" s="4">
        <v>44</v>
      </c>
      <c r="E6" s="4">
        <f>SUM(B6:D6)</f>
        <v>183</v>
      </c>
    </row>
    <row r="7" spans="1:5" x14ac:dyDescent="0.25">
      <c r="A7" s="4" t="s">
        <v>592</v>
      </c>
      <c r="B7" s="4">
        <v>35</v>
      </c>
      <c r="C7" s="4">
        <v>94</v>
      </c>
      <c r="D7" s="4">
        <v>41</v>
      </c>
      <c r="E7" s="4">
        <f>SUM(B7:D7)</f>
        <v>170</v>
      </c>
    </row>
    <row r="8" spans="1:5" x14ac:dyDescent="0.25">
      <c r="A8" s="4" t="s">
        <v>593</v>
      </c>
      <c r="B8" s="4">
        <v>6</v>
      </c>
      <c r="C8" s="4">
        <v>31</v>
      </c>
      <c r="D8" s="4">
        <v>9</v>
      </c>
      <c r="E8" s="4">
        <f>SUM(B8:D8)</f>
        <v>46</v>
      </c>
    </row>
    <row r="9" spans="1:5" x14ac:dyDescent="0.25">
      <c r="A9" s="6" t="s">
        <v>53</v>
      </c>
      <c r="B9" s="6">
        <f>SUM(B6:B8)</f>
        <v>127</v>
      </c>
      <c r="C9" s="6">
        <f>SUM(C6:C8)</f>
        <v>178</v>
      </c>
      <c r="D9" s="6">
        <f>SUM(D6:D8)</f>
        <v>94</v>
      </c>
      <c r="E9" s="6">
        <f>SUM(E6:E8)</f>
        <v>399</v>
      </c>
    </row>
    <row r="20" spans="1:5" x14ac:dyDescent="0.25">
      <c r="A20" s="7" t="s">
        <v>877</v>
      </c>
    </row>
    <row r="21" spans="1:5" ht="30" x14ac:dyDescent="0.25">
      <c r="A21" s="3" t="s">
        <v>587</v>
      </c>
      <c r="B21" s="3" t="s">
        <v>588</v>
      </c>
      <c r="C21" s="3" t="s">
        <v>589</v>
      </c>
      <c r="D21" s="3" t="s">
        <v>590</v>
      </c>
      <c r="E21" s="3" t="s">
        <v>53</v>
      </c>
    </row>
    <row r="22" spans="1:5" x14ac:dyDescent="0.25">
      <c r="A22" s="4" t="s">
        <v>591</v>
      </c>
      <c r="B22" s="4">
        <v>83</v>
      </c>
      <c r="C22" s="4">
        <v>16</v>
      </c>
      <c r="D22" s="4">
        <v>34</v>
      </c>
      <c r="E22" s="4">
        <f>SUM(B22:D22)</f>
        <v>133</v>
      </c>
    </row>
    <row r="23" spans="1:5" x14ac:dyDescent="0.25">
      <c r="A23" s="4" t="s">
        <v>592</v>
      </c>
      <c r="B23" s="4">
        <v>58</v>
      </c>
      <c r="C23" s="4">
        <v>19</v>
      </c>
      <c r="D23" s="4">
        <v>27</v>
      </c>
      <c r="E23" s="4">
        <f>SUM(B23:D23)</f>
        <v>104</v>
      </c>
    </row>
    <row r="24" spans="1:5" x14ac:dyDescent="0.25">
      <c r="A24" s="4" t="s">
        <v>593</v>
      </c>
      <c r="B24" s="4">
        <v>30</v>
      </c>
      <c r="C24" s="4">
        <v>12</v>
      </c>
      <c r="D24" s="4">
        <v>15</v>
      </c>
      <c r="E24" s="4">
        <f>SUM(B24:D24)</f>
        <v>57</v>
      </c>
    </row>
    <row r="25" spans="1:5" x14ac:dyDescent="0.25">
      <c r="A25" s="6" t="s">
        <v>53</v>
      </c>
      <c r="B25" s="6">
        <f>SUM(B22:B24)</f>
        <v>171</v>
      </c>
      <c r="C25" s="6">
        <f>SUM(C22:C24)</f>
        <v>47</v>
      </c>
      <c r="D25" s="6">
        <f>SUM(D22:D24)</f>
        <v>76</v>
      </c>
      <c r="E25" s="6">
        <f>SUM(E22:E24)</f>
        <v>294</v>
      </c>
    </row>
    <row r="36" spans="1:5" x14ac:dyDescent="0.25">
      <c r="A36" s="7" t="s">
        <v>58</v>
      </c>
    </row>
    <row r="37" spans="1:5" ht="30" x14ac:dyDescent="0.25">
      <c r="A37" s="3" t="s">
        <v>587</v>
      </c>
      <c r="B37" s="3" t="s">
        <v>588</v>
      </c>
      <c r="C37" s="3" t="s">
        <v>589</v>
      </c>
      <c r="D37" s="3" t="s">
        <v>590</v>
      </c>
      <c r="E37" s="3" t="s">
        <v>53</v>
      </c>
    </row>
    <row r="38" spans="1:5" x14ac:dyDescent="0.25">
      <c r="A38" s="4" t="s">
        <v>591</v>
      </c>
      <c r="B38" s="4">
        <v>0</v>
      </c>
      <c r="C38" s="4">
        <v>1</v>
      </c>
      <c r="D38" s="4">
        <v>8</v>
      </c>
      <c r="E38" s="4">
        <f>SUM(B38:D38)</f>
        <v>9</v>
      </c>
    </row>
    <row r="39" spans="1:5" x14ac:dyDescent="0.25">
      <c r="A39" s="4" t="s">
        <v>592</v>
      </c>
      <c r="B39" s="4">
        <v>0</v>
      </c>
      <c r="C39" s="4">
        <v>0</v>
      </c>
      <c r="D39" s="4">
        <v>9</v>
      </c>
      <c r="E39" s="4">
        <f>SUM(B39:D39)</f>
        <v>9</v>
      </c>
    </row>
    <row r="40" spans="1:5" x14ac:dyDescent="0.25">
      <c r="A40" s="4" t="s">
        <v>593</v>
      </c>
      <c r="B40" s="4">
        <v>0</v>
      </c>
      <c r="C40" s="4">
        <v>0</v>
      </c>
      <c r="D40" s="4">
        <v>13</v>
      </c>
      <c r="E40" s="4">
        <f>SUM(B40:D40)</f>
        <v>13</v>
      </c>
    </row>
    <row r="41" spans="1:5" x14ac:dyDescent="0.25">
      <c r="A41" s="6" t="s">
        <v>53</v>
      </c>
      <c r="B41" s="6">
        <f>SUM(B38:B40)</f>
        <v>0</v>
      </c>
      <c r="C41" s="6">
        <f>SUM(C38:C40)</f>
        <v>1</v>
      </c>
      <c r="D41" s="6">
        <f>SUM(D38:D40)</f>
        <v>30</v>
      </c>
      <c r="E41" s="6">
        <f>SUM(E38:E40)</f>
        <v>31</v>
      </c>
    </row>
    <row r="52" spans="1:5" x14ac:dyDescent="0.25">
      <c r="A52" s="7" t="s">
        <v>878</v>
      </c>
    </row>
    <row r="53" spans="1:5" ht="30" x14ac:dyDescent="0.25">
      <c r="A53" s="3" t="s">
        <v>587</v>
      </c>
      <c r="B53" s="3" t="s">
        <v>588</v>
      </c>
      <c r="C53" s="3" t="s">
        <v>589</v>
      </c>
      <c r="D53" s="3" t="s">
        <v>590</v>
      </c>
      <c r="E53" s="3" t="s">
        <v>53</v>
      </c>
    </row>
    <row r="54" spans="1:5" x14ac:dyDescent="0.25">
      <c r="A54" s="4" t="s">
        <v>591</v>
      </c>
      <c r="B54" s="4">
        <v>15</v>
      </c>
      <c r="C54" s="4">
        <v>2</v>
      </c>
      <c r="D54" s="4">
        <v>3</v>
      </c>
      <c r="E54" s="4">
        <f>SUM(B54:D54)</f>
        <v>20</v>
      </c>
    </row>
    <row r="55" spans="1:5" x14ac:dyDescent="0.25">
      <c r="A55" s="4" t="s">
        <v>592</v>
      </c>
      <c r="B55" s="4">
        <v>18</v>
      </c>
      <c r="C55" s="4">
        <v>3</v>
      </c>
      <c r="D55" s="4">
        <v>3</v>
      </c>
      <c r="E55" s="4">
        <f>SUM(B55:D55)</f>
        <v>24</v>
      </c>
    </row>
    <row r="56" spans="1:5" x14ac:dyDescent="0.25">
      <c r="A56" s="4" t="s">
        <v>593</v>
      </c>
      <c r="B56" s="4">
        <v>4</v>
      </c>
      <c r="C56" s="4">
        <v>5</v>
      </c>
      <c r="D56" s="4">
        <v>2</v>
      </c>
      <c r="E56" s="4">
        <f>SUM(B56:D56)</f>
        <v>11</v>
      </c>
    </row>
    <row r="57" spans="1:5" x14ac:dyDescent="0.25">
      <c r="A57" s="6" t="s">
        <v>53</v>
      </c>
      <c r="B57" s="6">
        <f>SUM(B54:B56)</f>
        <v>37</v>
      </c>
      <c r="C57" s="6">
        <f>SUM(C54:C56)</f>
        <v>10</v>
      </c>
      <c r="D57" s="6">
        <f>SUM(D54:D56)</f>
        <v>8</v>
      </c>
      <c r="E57" s="6">
        <f>SUM(E54:E56)</f>
        <v>55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9"/>
  <sheetViews>
    <sheetView workbookViewId="0"/>
  </sheetViews>
  <sheetFormatPr defaultRowHeight="15" x14ac:dyDescent="0.25"/>
  <cols>
    <col min="1" max="1" width="40" customWidth="1"/>
    <col min="2" max="2" width="12" customWidth="1"/>
  </cols>
  <sheetData>
    <row r="1" spans="1:2" ht="18.75" x14ac:dyDescent="0.3">
      <c r="A1" s="1" t="s">
        <v>906</v>
      </c>
    </row>
    <row r="2" spans="1:2" x14ac:dyDescent="0.25">
      <c r="A2" s="2" t="s">
        <v>907</v>
      </c>
    </row>
    <row r="4" spans="1:2" x14ac:dyDescent="0.25">
      <c r="A4" s="3" t="s">
        <v>576</v>
      </c>
      <c r="B4" s="3" t="s">
        <v>577</v>
      </c>
    </row>
    <row r="5" spans="1:2" x14ac:dyDescent="0.25">
      <c r="A5" s="4" t="s">
        <v>908</v>
      </c>
      <c r="B5" s="4">
        <f>'P4 Global high'!G16</f>
        <v>345</v>
      </c>
    </row>
    <row r="6" spans="1:2" x14ac:dyDescent="0.25">
      <c r="A6" s="4" t="s">
        <v>588</v>
      </c>
      <c r="B6" s="4">
        <f>'P4 Global high'!D16</f>
        <v>184</v>
      </c>
    </row>
    <row r="7" spans="1:2" x14ac:dyDescent="0.25">
      <c r="A7" s="4" t="s">
        <v>589</v>
      </c>
      <c r="B7" s="4">
        <f>'P4 Global high'!E16</f>
        <v>72</v>
      </c>
    </row>
    <row r="8" spans="1:2" x14ac:dyDescent="0.25">
      <c r="A8" s="4" t="s">
        <v>590</v>
      </c>
      <c r="B8" s="4">
        <f>'P4 Global high'!F16</f>
        <v>89</v>
      </c>
    </row>
    <row r="9" spans="1:2" x14ac:dyDescent="0.25">
      <c r="A9" s="4" t="s">
        <v>909</v>
      </c>
      <c r="B9" s="4">
        <f>B7+B8</f>
        <v>161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1"/>
  <sheetViews>
    <sheetView tabSelected="1" topLeftCell="A44" workbookViewId="0"/>
  </sheetViews>
  <sheetFormatPr defaultRowHeight="15" x14ac:dyDescent="0.25"/>
  <cols>
    <col min="1" max="1" width="22" customWidth="1"/>
    <col min="2" max="2" width="11" customWidth="1"/>
    <col min="3" max="5" width="9" customWidth="1"/>
    <col min="6" max="7" width="12" customWidth="1"/>
    <col min="8" max="8" width="13" customWidth="1"/>
    <col min="9" max="9" width="8" customWidth="1"/>
  </cols>
  <sheetData>
    <row r="1" spans="1:9" ht="18.75" x14ac:dyDescent="0.3">
      <c r="A1" s="1" t="s">
        <v>910</v>
      </c>
    </row>
    <row r="2" spans="1:9" x14ac:dyDescent="0.25">
      <c r="A2" s="2" t="s">
        <v>911</v>
      </c>
    </row>
    <row r="4" spans="1:9" ht="30" x14ac:dyDescent="0.25">
      <c r="A4" s="3" t="s">
        <v>526</v>
      </c>
      <c r="B4" s="3" t="s">
        <v>587</v>
      </c>
      <c r="C4" s="3" t="s">
        <v>912</v>
      </c>
      <c r="D4" s="3" t="s">
        <v>913</v>
      </c>
      <c r="E4" s="3" t="s">
        <v>914</v>
      </c>
      <c r="F4" s="3" t="s">
        <v>915</v>
      </c>
      <c r="G4" s="3" t="s">
        <v>916</v>
      </c>
      <c r="H4" s="3" t="s">
        <v>917</v>
      </c>
      <c r="I4" s="3" t="s">
        <v>918</v>
      </c>
    </row>
    <row r="5" spans="1:9" x14ac:dyDescent="0.25">
      <c r="A5" s="4" t="s">
        <v>529</v>
      </c>
      <c r="B5" s="4" t="s">
        <v>591</v>
      </c>
      <c r="C5" s="4">
        <v>2</v>
      </c>
      <c r="D5" s="4">
        <v>15</v>
      </c>
      <c r="E5" s="4">
        <v>9</v>
      </c>
      <c r="F5" s="4">
        <v>2</v>
      </c>
      <c r="G5" s="4">
        <v>14</v>
      </c>
      <c r="H5" s="4">
        <v>14</v>
      </c>
      <c r="I5" s="4" t="b">
        <v>0</v>
      </c>
    </row>
    <row r="6" spans="1:9" x14ac:dyDescent="0.25">
      <c r="A6" s="4" t="s">
        <v>529</v>
      </c>
      <c r="B6" s="4" t="s">
        <v>592</v>
      </c>
      <c r="C6" s="4">
        <v>1</v>
      </c>
      <c r="D6" s="4">
        <v>16</v>
      </c>
      <c r="E6" s="4">
        <v>1</v>
      </c>
      <c r="F6" s="4">
        <v>1</v>
      </c>
      <c r="G6" s="4">
        <v>18</v>
      </c>
      <c r="H6" s="4">
        <v>16</v>
      </c>
      <c r="I6" s="4" t="b">
        <v>0</v>
      </c>
    </row>
    <row r="7" spans="1:9" x14ac:dyDescent="0.25">
      <c r="A7" s="4" t="s">
        <v>529</v>
      </c>
      <c r="B7" s="4" t="s">
        <v>593</v>
      </c>
      <c r="C7" s="4">
        <v>0</v>
      </c>
      <c r="D7" s="4">
        <v>1</v>
      </c>
      <c r="E7" s="4">
        <v>1</v>
      </c>
      <c r="F7" s="4">
        <v>0</v>
      </c>
      <c r="G7" s="4">
        <v>1</v>
      </c>
      <c r="H7" s="4">
        <v>1</v>
      </c>
      <c r="I7" s="4" t="b">
        <v>1</v>
      </c>
    </row>
    <row r="8" spans="1:9" x14ac:dyDescent="0.25">
      <c r="A8" s="4" t="s">
        <v>533</v>
      </c>
      <c r="B8" s="4" t="s">
        <v>591</v>
      </c>
      <c r="C8" s="4">
        <v>20</v>
      </c>
      <c r="D8" s="4">
        <v>8</v>
      </c>
      <c r="E8" s="4">
        <v>7</v>
      </c>
      <c r="F8" s="4">
        <v>20</v>
      </c>
      <c r="G8" s="4">
        <v>7</v>
      </c>
      <c r="H8" s="4">
        <v>8</v>
      </c>
      <c r="I8" s="4" t="b">
        <v>0</v>
      </c>
    </row>
    <row r="9" spans="1:9" x14ac:dyDescent="0.25">
      <c r="A9" s="4" t="s">
        <v>533</v>
      </c>
      <c r="B9" s="4" t="s">
        <v>592</v>
      </c>
      <c r="C9" s="4">
        <v>4</v>
      </c>
      <c r="D9" s="4">
        <v>11</v>
      </c>
      <c r="E9" s="4">
        <v>4</v>
      </c>
      <c r="F9" s="4">
        <v>4</v>
      </c>
      <c r="G9" s="4">
        <v>11</v>
      </c>
      <c r="H9" s="4">
        <v>4</v>
      </c>
      <c r="I9" s="4" t="b">
        <v>1</v>
      </c>
    </row>
    <row r="10" spans="1:9" x14ac:dyDescent="0.25">
      <c r="A10" s="4" t="s">
        <v>533</v>
      </c>
      <c r="B10" s="4" t="s">
        <v>593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 t="b">
        <v>1</v>
      </c>
    </row>
    <row r="11" spans="1:9" x14ac:dyDescent="0.25">
      <c r="A11" s="4" t="s">
        <v>531</v>
      </c>
      <c r="B11" s="4" t="s">
        <v>591</v>
      </c>
      <c r="C11" s="4">
        <v>16</v>
      </c>
      <c r="D11" s="4">
        <v>2</v>
      </c>
      <c r="E11" s="4">
        <v>14</v>
      </c>
      <c r="F11" s="4">
        <v>16</v>
      </c>
      <c r="G11" s="4">
        <v>7</v>
      </c>
      <c r="H11" s="4">
        <v>15</v>
      </c>
      <c r="I11" s="4" t="b">
        <v>0</v>
      </c>
    </row>
    <row r="12" spans="1:9" x14ac:dyDescent="0.25">
      <c r="A12" s="4" t="s">
        <v>531</v>
      </c>
      <c r="B12" s="4" t="s">
        <v>592</v>
      </c>
      <c r="C12" s="4">
        <v>8</v>
      </c>
      <c r="D12" s="4">
        <v>11</v>
      </c>
      <c r="E12" s="4">
        <v>7</v>
      </c>
      <c r="F12" s="4">
        <v>8</v>
      </c>
      <c r="G12" s="4">
        <v>11</v>
      </c>
      <c r="H12" s="4">
        <v>7</v>
      </c>
      <c r="I12" s="4" t="b">
        <v>1</v>
      </c>
    </row>
    <row r="13" spans="1:9" x14ac:dyDescent="0.25">
      <c r="A13" s="4" t="s">
        <v>531</v>
      </c>
      <c r="B13" s="4" t="s">
        <v>593</v>
      </c>
      <c r="C13" s="4">
        <v>0</v>
      </c>
      <c r="D13" s="4">
        <v>1</v>
      </c>
      <c r="E13" s="4">
        <v>4</v>
      </c>
      <c r="F13" s="4">
        <v>0</v>
      </c>
      <c r="G13" s="4">
        <v>1</v>
      </c>
      <c r="H13" s="4">
        <v>4</v>
      </c>
      <c r="I13" s="4" t="b">
        <v>1</v>
      </c>
    </row>
    <row r="14" spans="1:9" x14ac:dyDescent="0.25">
      <c r="A14" s="4" t="s">
        <v>535</v>
      </c>
      <c r="B14" s="4" t="s">
        <v>591</v>
      </c>
      <c r="C14" s="4">
        <v>16</v>
      </c>
      <c r="D14" s="4">
        <v>3</v>
      </c>
      <c r="E14" s="4">
        <v>6</v>
      </c>
      <c r="F14" s="4">
        <v>16</v>
      </c>
      <c r="G14" s="4">
        <v>10</v>
      </c>
      <c r="H14" s="4">
        <v>6</v>
      </c>
      <c r="I14" s="4" t="b">
        <v>0</v>
      </c>
    </row>
    <row r="15" spans="1:9" x14ac:dyDescent="0.25">
      <c r="A15" s="4" t="s">
        <v>535</v>
      </c>
      <c r="B15" s="4" t="s">
        <v>592</v>
      </c>
      <c r="C15" s="4">
        <v>8</v>
      </c>
      <c r="D15" s="4">
        <v>16</v>
      </c>
      <c r="E15" s="4">
        <v>3</v>
      </c>
      <c r="F15" s="4">
        <v>4</v>
      </c>
      <c r="G15" s="4">
        <v>16</v>
      </c>
      <c r="H15" s="4">
        <v>2</v>
      </c>
      <c r="I15" s="4" t="b">
        <v>0</v>
      </c>
    </row>
    <row r="16" spans="1:9" x14ac:dyDescent="0.25">
      <c r="A16" s="4" t="s">
        <v>535</v>
      </c>
      <c r="B16" s="4" t="s">
        <v>593</v>
      </c>
      <c r="C16" s="4">
        <v>1</v>
      </c>
      <c r="D16" s="4">
        <v>9</v>
      </c>
      <c r="E16" s="4">
        <v>0</v>
      </c>
      <c r="F16" s="4">
        <v>1</v>
      </c>
      <c r="G16" s="4">
        <v>2</v>
      </c>
      <c r="H16" s="4">
        <v>0</v>
      </c>
      <c r="I16" s="4" t="b">
        <v>0</v>
      </c>
    </row>
    <row r="17" spans="1:9" x14ac:dyDescent="0.25">
      <c r="A17" s="4" t="s">
        <v>539</v>
      </c>
      <c r="B17" s="4" t="s">
        <v>591</v>
      </c>
      <c r="C17" s="4">
        <v>1</v>
      </c>
      <c r="D17" s="4">
        <v>16</v>
      </c>
      <c r="E17" s="4">
        <v>4</v>
      </c>
      <c r="F17" s="4">
        <v>1</v>
      </c>
      <c r="G17" s="4">
        <v>4</v>
      </c>
      <c r="H17" s="4">
        <v>16</v>
      </c>
      <c r="I17" s="4" t="b">
        <v>0</v>
      </c>
    </row>
    <row r="18" spans="1:9" x14ac:dyDescent="0.25">
      <c r="A18" s="4" t="s">
        <v>539</v>
      </c>
      <c r="B18" s="4" t="s">
        <v>592</v>
      </c>
      <c r="C18" s="4">
        <v>1</v>
      </c>
      <c r="D18" s="4">
        <v>8</v>
      </c>
      <c r="E18" s="4">
        <v>15</v>
      </c>
      <c r="F18" s="4">
        <v>1</v>
      </c>
      <c r="G18" s="4">
        <v>8</v>
      </c>
      <c r="H18" s="4">
        <v>15</v>
      </c>
      <c r="I18" s="4" t="b">
        <v>1</v>
      </c>
    </row>
    <row r="19" spans="1:9" x14ac:dyDescent="0.25">
      <c r="A19" s="4" t="s">
        <v>539</v>
      </c>
      <c r="B19" s="4" t="s">
        <v>593</v>
      </c>
      <c r="C19" s="4">
        <v>0</v>
      </c>
      <c r="D19" s="4">
        <v>1</v>
      </c>
      <c r="E19" s="4">
        <v>3</v>
      </c>
      <c r="F19" s="4">
        <v>0</v>
      </c>
      <c r="G19" s="4">
        <v>1</v>
      </c>
      <c r="H19" s="4">
        <v>3</v>
      </c>
      <c r="I19" s="4" t="b">
        <v>1</v>
      </c>
    </row>
    <row r="20" spans="1:9" x14ac:dyDescent="0.25">
      <c r="A20" s="4" t="s">
        <v>537</v>
      </c>
      <c r="B20" s="4" t="s">
        <v>591</v>
      </c>
      <c r="C20" s="4">
        <v>9</v>
      </c>
      <c r="D20" s="4">
        <v>6</v>
      </c>
      <c r="E20" s="4">
        <v>2</v>
      </c>
      <c r="F20" s="4">
        <v>9</v>
      </c>
      <c r="G20" s="4">
        <v>9</v>
      </c>
      <c r="H20" s="4">
        <v>4</v>
      </c>
      <c r="I20" s="4" t="b">
        <v>0</v>
      </c>
    </row>
    <row r="21" spans="1:9" x14ac:dyDescent="0.25">
      <c r="A21" s="4" t="s">
        <v>537</v>
      </c>
      <c r="B21" s="4" t="s">
        <v>592</v>
      </c>
      <c r="C21" s="4">
        <v>2</v>
      </c>
      <c r="D21" s="4">
        <v>18</v>
      </c>
      <c r="E21" s="4">
        <v>1</v>
      </c>
      <c r="F21" s="4">
        <v>2</v>
      </c>
      <c r="G21" s="4">
        <v>18</v>
      </c>
      <c r="H21" s="4">
        <v>1</v>
      </c>
      <c r="I21" s="4" t="b">
        <v>1</v>
      </c>
    </row>
    <row r="22" spans="1:9" x14ac:dyDescent="0.25">
      <c r="A22" s="4" t="s">
        <v>537</v>
      </c>
      <c r="B22" s="4" t="s">
        <v>593</v>
      </c>
      <c r="C22" s="4">
        <v>0</v>
      </c>
      <c r="D22" s="4">
        <v>11</v>
      </c>
      <c r="E22" s="4">
        <v>0</v>
      </c>
      <c r="F22" s="4">
        <v>0</v>
      </c>
      <c r="G22" s="4">
        <v>11</v>
      </c>
      <c r="H22" s="4">
        <v>0</v>
      </c>
      <c r="I22" s="4" t="b">
        <v>1</v>
      </c>
    </row>
    <row r="23" spans="1:9" x14ac:dyDescent="0.25">
      <c r="A23" s="4" t="s">
        <v>543</v>
      </c>
      <c r="B23" s="4" t="s">
        <v>591</v>
      </c>
      <c r="C23" s="4">
        <v>8</v>
      </c>
      <c r="D23" s="4">
        <v>0</v>
      </c>
      <c r="E23" s="4">
        <v>0</v>
      </c>
      <c r="F23" s="4">
        <v>8</v>
      </c>
      <c r="G23" s="4">
        <v>0</v>
      </c>
      <c r="H23" s="4">
        <v>0</v>
      </c>
      <c r="I23" s="4" t="b">
        <v>1</v>
      </c>
    </row>
    <row r="24" spans="1:9" x14ac:dyDescent="0.25">
      <c r="A24" s="4" t="s">
        <v>543</v>
      </c>
      <c r="B24" s="4" t="s">
        <v>592</v>
      </c>
      <c r="C24" s="4">
        <v>2</v>
      </c>
      <c r="D24" s="4">
        <v>1</v>
      </c>
      <c r="E24" s="4">
        <v>0</v>
      </c>
      <c r="F24" s="4">
        <v>2</v>
      </c>
      <c r="G24" s="4">
        <v>1</v>
      </c>
      <c r="H24" s="4">
        <v>0</v>
      </c>
      <c r="I24" s="4" t="b">
        <v>1</v>
      </c>
    </row>
    <row r="25" spans="1:9" x14ac:dyDescent="0.25">
      <c r="A25" s="4" t="s">
        <v>543</v>
      </c>
      <c r="B25" s="4" t="s">
        <v>593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 t="b">
        <v>1</v>
      </c>
    </row>
    <row r="26" spans="1:9" x14ac:dyDescent="0.25">
      <c r="A26" s="4" t="s">
        <v>541</v>
      </c>
      <c r="B26" s="4" t="s">
        <v>591</v>
      </c>
      <c r="C26" s="4">
        <v>8</v>
      </c>
      <c r="D26" s="4">
        <v>1</v>
      </c>
      <c r="E26" s="4">
        <v>0</v>
      </c>
      <c r="F26" s="4">
        <v>11</v>
      </c>
      <c r="G26" s="4">
        <v>1</v>
      </c>
      <c r="H26" s="4">
        <v>0</v>
      </c>
      <c r="I26" s="4" t="b">
        <v>0</v>
      </c>
    </row>
    <row r="27" spans="1:9" x14ac:dyDescent="0.25">
      <c r="A27" s="4" t="s">
        <v>541</v>
      </c>
      <c r="B27" s="4" t="s">
        <v>592</v>
      </c>
      <c r="C27" s="4">
        <v>0</v>
      </c>
      <c r="D27" s="4">
        <v>9</v>
      </c>
      <c r="E27" s="4">
        <v>6</v>
      </c>
      <c r="F27" s="4">
        <v>0</v>
      </c>
      <c r="G27" s="4">
        <v>9</v>
      </c>
      <c r="H27" s="4">
        <v>6</v>
      </c>
      <c r="I27" s="4" t="b">
        <v>1</v>
      </c>
    </row>
    <row r="28" spans="1:9" x14ac:dyDescent="0.25">
      <c r="A28" s="4" t="s">
        <v>541</v>
      </c>
      <c r="B28" s="4" t="s">
        <v>593</v>
      </c>
      <c r="C28" s="4">
        <v>3</v>
      </c>
      <c r="D28" s="4">
        <v>1</v>
      </c>
      <c r="E28" s="4">
        <v>0</v>
      </c>
      <c r="F28" s="4">
        <v>3</v>
      </c>
      <c r="G28" s="4">
        <v>1</v>
      </c>
      <c r="H28" s="4">
        <v>0</v>
      </c>
      <c r="I28" s="4" t="b">
        <v>1</v>
      </c>
    </row>
    <row r="29" spans="1:9" x14ac:dyDescent="0.25">
      <c r="A29" s="4" t="s">
        <v>545</v>
      </c>
      <c r="B29" s="4" t="s">
        <v>591</v>
      </c>
      <c r="C29" s="4">
        <v>4</v>
      </c>
      <c r="D29" s="4">
        <v>3</v>
      </c>
      <c r="E29" s="4">
        <v>1</v>
      </c>
      <c r="F29" s="4">
        <v>4</v>
      </c>
      <c r="G29" s="4">
        <v>3</v>
      </c>
      <c r="H29" s="4">
        <v>1</v>
      </c>
      <c r="I29" s="4" t="b">
        <v>1</v>
      </c>
    </row>
    <row r="30" spans="1:9" x14ac:dyDescent="0.25">
      <c r="A30" s="4" t="s">
        <v>545</v>
      </c>
      <c r="B30" s="4" t="s">
        <v>592</v>
      </c>
      <c r="C30" s="4">
        <v>11</v>
      </c>
      <c r="D30" s="4">
        <v>4</v>
      </c>
      <c r="E30" s="4">
        <v>4</v>
      </c>
      <c r="F30" s="4">
        <v>11</v>
      </c>
      <c r="G30" s="4">
        <v>4</v>
      </c>
      <c r="H30" s="4">
        <v>4</v>
      </c>
      <c r="I30" s="4" t="b">
        <v>1</v>
      </c>
    </row>
    <row r="31" spans="1:9" x14ac:dyDescent="0.25">
      <c r="A31" s="4" t="s">
        <v>545</v>
      </c>
      <c r="B31" s="4" t="s">
        <v>593</v>
      </c>
      <c r="C31" s="4">
        <v>2</v>
      </c>
      <c r="D31" s="4">
        <v>7</v>
      </c>
      <c r="E31" s="4">
        <v>1</v>
      </c>
      <c r="F31" s="4">
        <v>2</v>
      </c>
      <c r="G31" s="4">
        <v>7</v>
      </c>
      <c r="H31" s="4">
        <v>1</v>
      </c>
      <c r="I31" s="4" t="b">
        <v>1</v>
      </c>
    </row>
    <row r="32" spans="1:9" x14ac:dyDescent="0.25">
      <c r="A32" s="4" t="s">
        <v>547</v>
      </c>
      <c r="B32" s="4" t="s">
        <v>591</v>
      </c>
      <c r="C32" s="4">
        <v>23</v>
      </c>
      <c r="D32" s="4">
        <v>7</v>
      </c>
      <c r="E32" s="4">
        <v>5</v>
      </c>
      <c r="F32" s="4">
        <v>23</v>
      </c>
      <c r="G32" s="4">
        <v>7</v>
      </c>
      <c r="H32" s="4">
        <v>5</v>
      </c>
      <c r="I32" s="4" t="b">
        <v>1</v>
      </c>
    </row>
    <row r="33" spans="1:9" x14ac:dyDescent="0.25">
      <c r="A33" s="4" t="s">
        <v>547</v>
      </c>
      <c r="B33" s="4" t="s">
        <v>592</v>
      </c>
      <c r="C33" s="4">
        <v>22</v>
      </c>
      <c r="D33" s="4">
        <v>6</v>
      </c>
      <c r="E33" s="4">
        <v>0</v>
      </c>
      <c r="F33" s="4">
        <v>22</v>
      </c>
      <c r="G33" s="4">
        <v>6</v>
      </c>
      <c r="H33" s="4">
        <v>0</v>
      </c>
      <c r="I33" s="4" t="b">
        <v>1</v>
      </c>
    </row>
    <row r="34" spans="1:9" x14ac:dyDescent="0.25">
      <c r="A34" s="4" t="s">
        <v>547</v>
      </c>
      <c r="B34" s="4" t="s">
        <v>593</v>
      </c>
      <c r="C34" s="4">
        <v>8</v>
      </c>
      <c r="D34" s="4">
        <v>0</v>
      </c>
      <c r="E34" s="4">
        <v>1</v>
      </c>
      <c r="F34" s="4">
        <v>8</v>
      </c>
      <c r="G34" s="4">
        <v>0</v>
      </c>
      <c r="H34" s="4">
        <v>1</v>
      </c>
      <c r="I34" s="4" t="b">
        <v>1</v>
      </c>
    </row>
    <row r="35" spans="1:9" x14ac:dyDescent="0.25">
      <c r="A35" s="4" t="s">
        <v>551</v>
      </c>
      <c r="B35" s="4" t="s">
        <v>591</v>
      </c>
      <c r="C35" s="4">
        <v>13</v>
      </c>
      <c r="D35" s="4">
        <v>0</v>
      </c>
      <c r="E35" s="4">
        <v>3</v>
      </c>
      <c r="F35" s="4">
        <v>13</v>
      </c>
      <c r="G35" s="4">
        <v>0</v>
      </c>
      <c r="H35" s="4">
        <v>3</v>
      </c>
      <c r="I35" s="4" t="b">
        <v>1</v>
      </c>
    </row>
    <row r="36" spans="1:9" x14ac:dyDescent="0.25">
      <c r="A36" s="4" t="s">
        <v>551</v>
      </c>
      <c r="B36" s="4" t="s">
        <v>592</v>
      </c>
      <c r="C36" s="4">
        <v>7</v>
      </c>
      <c r="D36" s="4">
        <v>2</v>
      </c>
      <c r="E36" s="4">
        <v>3</v>
      </c>
      <c r="F36" s="4">
        <v>7</v>
      </c>
      <c r="G36" s="4">
        <v>2</v>
      </c>
      <c r="H36" s="4">
        <v>3</v>
      </c>
      <c r="I36" s="4" t="b">
        <v>1</v>
      </c>
    </row>
    <row r="37" spans="1:9" x14ac:dyDescent="0.25">
      <c r="A37" s="4" t="s">
        <v>551</v>
      </c>
      <c r="B37" s="4" t="s">
        <v>593</v>
      </c>
      <c r="C37" s="4">
        <v>7</v>
      </c>
      <c r="D37" s="4">
        <v>1</v>
      </c>
      <c r="E37" s="4">
        <v>0</v>
      </c>
      <c r="F37" s="4">
        <v>7</v>
      </c>
      <c r="G37" s="4">
        <v>1</v>
      </c>
      <c r="H37" s="4">
        <v>0</v>
      </c>
      <c r="I37" s="4" t="b">
        <v>1</v>
      </c>
    </row>
    <row r="38" spans="1:9" x14ac:dyDescent="0.25">
      <c r="A38" s="4" t="s">
        <v>549</v>
      </c>
      <c r="B38" s="4" t="s">
        <v>591</v>
      </c>
      <c r="C38" s="4">
        <v>22</v>
      </c>
      <c r="D38" s="4">
        <v>1</v>
      </c>
      <c r="E38" s="4">
        <v>2</v>
      </c>
      <c r="F38" s="4">
        <v>22</v>
      </c>
      <c r="G38" s="4">
        <v>2</v>
      </c>
      <c r="H38" s="4">
        <v>3</v>
      </c>
      <c r="I38" s="4" t="b">
        <v>0</v>
      </c>
    </row>
    <row r="39" spans="1:9" x14ac:dyDescent="0.25">
      <c r="A39" s="4" t="s">
        <v>549</v>
      </c>
      <c r="B39" s="4" t="s">
        <v>592</v>
      </c>
      <c r="C39" s="4">
        <v>7</v>
      </c>
      <c r="D39" s="4">
        <v>3</v>
      </c>
      <c r="E39" s="4">
        <v>1</v>
      </c>
      <c r="F39" s="4">
        <v>7</v>
      </c>
      <c r="G39" s="4">
        <v>3</v>
      </c>
      <c r="H39" s="4">
        <v>1</v>
      </c>
      <c r="I39" s="4" t="b">
        <v>1</v>
      </c>
    </row>
    <row r="40" spans="1:9" x14ac:dyDescent="0.25">
      <c r="A40" s="4" t="s">
        <v>549</v>
      </c>
      <c r="B40" s="4" t="s">
        <v>593</v>
      </c>
      <c r="C40" s="4">
        <v>6</v>
      </c>
      <c r="D40" s="4">
        <v>1</v>
      </c>
      <c r="E40" s="4">
        <v>0</v>
      </c>
      <c r="F40" s="4">
        <v>6</v>
      </c>
      <c r="G40" s="4">
        <v>1</v>
      </c>
      <c r="H40" s="4">
        <v>0</v>
      </c>
      <c r="I40" s="4" t="b">
        <v>1</v>
      </c>
    </row>
    <row r="41" spans="1:9" x14ac:dyDescent="0.25">
      <c r="A41" s="4" t="s">
        <v>565</v>
      </c>
      <c r="B41" s="4" t="s">
        <v>591</v>
      </c>
      <c r="C41" s="4">
        <v>3</v>
      </c>
      <c r="D41" s="4">
        <v>1</v>
      </c>
      <c r="E41" s="4">
        <v>1</v>
      </c>
      <c r="F41" s="4">
        <v>3</v>
      </c>
      <c r="G41" s="4">
        <v>1</v>
      </c>
      <c r="H41" s="4">
        <v>1</v>
      </c>
      <c r="I41" s="4" t="b">
        <v>1</v>
      </c>
    </row>
    <row r="42" spans="1:9" x14ac:dyDescent="0.25">
      <c r="A42" s="4" t="s">
        <v>565</v>
      </c>
      <c r="B42" s="4" t="s">
        <v>592</v>
      </c>
      <c r="C42" s="4">
        <v>1</v>
      </c>
      <c r="D42" s="4">
        <v>1</v>
      </c>
      <c r="E42" s="4">
        <v>2</v>
      </c>
      <c r="F42" s="4">
        <v>1</v>
      </c>
      <c r="G42" s="4">
        <v>1</v>
      </c>
      <c r="H42" s="4">
        <v>2</v>
      </c>
      <c r="I42" s="4" t="b">
        <v>1</v>
      </c>
    </row>
    <row r="43" spans="1:9" x14ac:dyDescent="0.25">
      <c r="A43" s="4" t="s">
        <v>565</v>
      </c>
      <c r="B43" s="4" t="s">
        <v>593</v>
      </c>
      <c r="C43" s="4">
        <v>1</v>
      </c>
      <c r="D43" s="4">
        <v>2</v>
      </c>
      <c r="E43" s="4">
        <v>9</v>
      </c>
      <c r="F43" s="4">
        <v>1</v>
      </c>
      <c r="G43" s="4">
        <v>2</v>
      </c>
      <c r="H43" s="4">
        <v>9</v>
      </c>
      <c r="I43" s="4" t="b">
        <v>1</v>
      </c>
    </row>
    <row r="44" spans="1:9" x14ac:dyDescent="0.25">
      <c r="A44" s="4" t="s">
        <v>563</v>
      </c>
      <c r="B44" s="4" t="s">
        <v>591</v>
      </c>
      <c r="C44" s="4">
        <v>6</v>
      </c>
      <c r="D44" s="4">
        <v>0</v>
      </c>
      <c r="E44" s="4">
        <v>10</v>
      </c>
      <c r="F44" s="4">
        <v>4</v>
      </c>
      <c r="G44" s="4">
        <v>0</v>
      </c>
      <c r="H44" s="4">
        <v>12</v>
      </c>
      <c r="I44" s="4" t="b">
        <v>0</v>
      </c>
    </row>
    <row r="45" spans="1:9" x14ac:dyDescent="0.25">
      <c r="A45" s="4" t="s">
        <v>563</v>
      </c>
      <c r="B45" s="4" t="s">
        <v>592</v>
      </c>
      <c r="C45" s="4">
        <v>3</v>
      </c>
      <c r="D45" s="4">
        <v>4</v>
      </c>
      <c r="E45" s="4">
        <v>12</v>
      </c>
      <c r="F45" s="4">
        <v>4</v>
      </c>
      <c r="G45" s="4">
        <v>4</v>
      </c>
      <c r="H45" s="4">
        <v>11</v>
      </c>
      <c r="I45" s="4" t="b">
        <v>0</v>
      </c>
    </row>
    <row r="46" spans="1:9" x14ac:dyDescent="0.25">
      <c r="A46" s="4" t="s">
        <v>563</v>
      </c>
      <c r="B46" s="4" t="s">
        <v>593</v>
      </c>
      <c r="C46" s="4">
        <v>1</v>
      </c>
      <c r="D46" s="4">
        <v>2</v>
      </c>
      <c r="E46" s="4">
        <v>1</v>
      </c>
      <c r="F46" s="4">
        <v>1</v>
      </c>
      <c r="G46" s="4">
        <v>2</v>
      </c>
      <c r="H46" s="4">
        <v>1</v>
      </c>
      <c r="I46" s="4" t="b">
        <v>1</v>
      </c>
    </row>
    <row r="47" spans="1:9" x14ac:dyDescent="0.25">
      <c r="A47" s="4" t="s">
        <v>569</v>
      </c>
      <c r="B47" s="4" t="s">
        <v>591</v>
      </c>
      <c r="C47" s="4">
        <v>0</v>
      </c>
      <c r="D47" s="4">
        <v>0</v>
      </c>
      <c r="E47" s="4">
        <v>3</v>
      </c>
      <c r="F47" s="4">
        <v>0</v>
      </c>
      <c r="G47" s="4">
        <v>0</v>
      </c>
      <c r="H47" s="4">
        <v>12</v>
      </c>
      <c r="I47" s="4" t="b">
        <v>0</v>
      </c>
    </row>
    <row r="48" spans="1:9" x14ac:dyDescent="0.25">
      <c r="A48" s="4" t="s">
        <v>569</v>
      </c>
      <c r="B48" s="4" t="s">
        <v>592</v>
      </c>
      <c r="C48" s="4">
        <v>0</v>
      </c>
      <c r="D48" s="4">
        <v>0</v>
      </c>
      <c r="E48" s="4">
        <v>5</v>
      </c>
      <c r="F48" s="4">
        <v>0</v>
      </c>
      <c r="G48" s="4">
        <v>0</v>
      </c>
      <c r="H48" s="4">
        <v>6</v>
      </c>
      <c r="I48" s="4" t="b">
        <v>0</v>
      </c>
    </row>
    <row r="49" spans="1:9" x14ac:dyDescent="0.25">
      <c r="A49" s="4" t="s">
        <v>569</v>
      </c>
      <c r="B49" s="4" t="s">
        <v>593</v>
      </c>
      <c r="C49" s="4">
        <v>0</v>
      </c>
      <c r="D49" s="4">
        <v>0</v>
      </c>
      <c r="E49" s="4">
        <v>10</v>
      </c>
      <c r="F49" s="4">
        <v>0</v>
      </c>
      <c r="G49" s="4">
        <v>0</v>
      </c>
      <c r="H49" s="4">
        <v>11</v>
      </c>
      <c r="I49" s="4" t="b">
        <v>0</v>
      </c>
    </row>
    <row r="50" spans="1:9" x14ac:dyDescent="0.25">
      <c r="A50" s="4" t="s">
        <v>567</v>
      </c>
      <c r="B50" s="4" t="s">
        <v>591</v>
      </c>
      <c r="C50" s="4">
        <v>0</v>
      </c>
      <c r="D50" s="4">
        <v>1</v>
      </c>
      <c r="E50" s="4">
        <v>5</v>
      </c>
      <c r="F50" s="4">
        <v>0</v>
      </c>
      <c r="G50" s="4">
        <v>1</v>
      </c>
      <c r="H50" s="4">
        <v>19</v>
      </c>
      <c r="I50" s="4" t="b">
        <v>0</v>
      </c>
    </row>
    <row r="51" spans="1:9" x14ac:dyDescent="0.25">
      <c r="A51" s="4" t="s">
        <v>567</v>
      </c>
      <c r="B51" s="4" t="s">
        <v>592</v>
      </c>
      <c r="C51" s="4">
        <v>0</v>
      </c>
      <c r="D51" s="4">
        <v>0</v>
      </c>
      <c r="E51" s="4">
        <v>4</v>
      </c>
      <c r="F51" s="4">
        <v>0</v>
      </c>
      <c r="G51" s="4">
        <v>1</v>
      </c>
      <c r="H51" s="4">
        <v>6</v>
      </c>
      <c r="I51" s="4" t="b">
        <v>0</v>
      </c>
    </row>
    <row r="52" spans="1:9" x14ac:dyDescent="0.25">
      <c r="A52" s="4" t="s">
        <v>567</v>
      </c>
      <c r="B52" s="4" t="s">
        <v>593</v>
      </c>
      <c r="C52" s="4">
        <v>0</v>
      </c>
      <c r="D52" s="4">
        <v>0</v>
      </c>
      <c r="E52" s="4">
        <v>3</v>
      </c>
      <c r="F52" s="4">
        <v>0</v>
      </c>
      <c r="G52" s="4">
        <v>0</v>
      </c>
      <c r="H52" s="4">
        <v>4</v>
      </c>
      <c r="I52" s="4" t="b">
        <v>0</v>
      </c>
    </row>
    <row r="53" spans="1:9" x14ac:dyDescent="0.25">
      <c r="A53" s="4" t="s">
        <v>571</v>
      </c>
      <c r="B53" s="4" t="s">
        <v>591</v>
      </c>
      <c r="C53" s="4">
        <v>4</v>
      </c>
      <c r="D53" s="4">
        <v>0</v>
      </c>
      <c r="E53" s="4">
        <v>3</v>
      </c>
      <c r="F53" s="4">
        <v>4</v>
      </c>
      <c r="G53" s="4">
        <v>4</v>
      </c>
      <c r="H53" s="4">
        <v>4</v>
      </c>
      <c r="I53" s="4" t="b">
        <v>0</v>
      </c>
    </row>
    <row r="54" spans="1:9" x14ac:dyDescent="0.25">
      <c r="A54" s="4" t="s">
        <v>571</v>
      </c>
      <c r="B54" s="4" t="s">
        <v>592</v>
      </c>
      <c r="C54" s="4">
        <v>4</v>
      </c>
      <c r="D54" s="4">
        <v>1</v>
      </c>
      <c r="E54" s="4">
        <v>3</v>
      </c>
      <c r="F54" s="4">
        <v>4</v>
      </c>
      <c r="G54" s="4">
        <v>4</v>
      </c>
      <c r="H54" s="4">
        <v>5</v>
      </c>
      <c r="I54" s="4" t="b">
        <v>0</v>
      </c>
    </row>
    <row r="55" spans="1:9" x14ac:dyDescent="0.25">
      <c r="A55" s="4" t="s">
        <v>571</v>
      </c>
      <c r="B55" s="4" t="s">
        <v>593</v>
      </c>
      <c r="C55" s="4">
        <v>1</v>
      </c>
      <c r="D55" s="4">
        <v>0</v>
      </c>
      <c r="E55" s="4">
        <v>2</v>
      </c>
      <c r="F55" s="4">
        <v>1</v>
      </c>
      <c r="G55" s="4">
        <v>0</v>
      </c>
      <c r="H55" s="4">
        <v>1</v>
      </c>
      <c r="I55" s="4" t="b">
        <v>0</v>
      </c>
    </row>
    <row r="56" spans="1:9" x14ac:dyDescent="0.25">
      <c r="A56" s="4" t="s">
        <v>573</v>
      </c>
      <c r="B56" s="4" t="s">
        <v>591</v>
      </c>
      <c r="C56" s="4">
        <v>11</v>
      </c>
      <c r="D56" s="4">
        <v>2</v>
      </c>
      <c r="E56" s="4">
        <v>0</v>
      </c>
      <c r="F56" s="4">
        <v>11</v>
      </c>
      <c r="G56" s="4">
        <v>2</v>
      </c>
      <c r="H56" s="4">
        <v>0</v>
      </c>
      <c r="I56" s="4" t="b">
        <v>1</v>
      </c>
    </row>
    <row r="57" spans="1:9" x14ac:dyDescent="0.25">
      <c r="A57" s="4" t="s">
        <v>573</v>
      </c>
      <c r="B57" s="4" t="s">
        <v>592</v>
      </c>
      <c r="C57" s="4">
        <v>14</v>
      </c>
      <c r="D57" s="4">
        <v>2</v>
      </c>
      <c r="E57" s="4">
        <v>1</v>
      </c>
      <c r="F57" s="4">
        <v>14</v>
      </c>
      <c r="G57" s="4">
        <v>2</v>
      </c>
      <c r="H57" s="4">
        <v>1</v>
      </c>
      <c r="I57" s="4" t="b">
        <v>1</v>
      </c>
    </row>
    <row r="58" spans="1:9" x14ac:dyDescent="0.25">
      <c r="A58" s="4" t="s">
        <v>573</v>
      </c>
      <c r="B58" s="4" t="s">
        <v>593</v>
      </c>
      <c r="C58" s="4">
        <v>3</v>
      </c>
      <c r="D58" s="4">
        <v>4</v>
      </c>
      <c r="E58" s="4">
        <v>0</v>
      </c>
      <c r="F58" s="4">
        <v>4</v>
      </c>
      <c r="G58" s="4">
        <v>4</v>
      </c>
      <c r="H58" s="4">
        <v>0</v>
      </c>
      <c r="I58" s="4" t="b">
        <v>0</v>
      </c>
    </row>
    <row r="59" spans="1:9" x14ac:dyDescent="0.25">
      <c r="A59" s="4" t="s">
        <v>919</v>
      </c>
      <c r="B59" s="4" t="s">
        <v>591</v>
      </c>
      <c r="C59" s="4">
        <v>16</v>
      </c>
      <c r="D59" s="4">
        <v>7</v>
      </c>
      <c r="E59" s="4">
        <v>13</v>
      </c>
      <c r="F59" s="4">
        <v>12</v>
      </c>
      <c r="G59" s="4">
        <v>1</v>
      </c>
      <c r="H59" s="4">
        <v>7</v>
      </c>
      <c r="I59" s="4" t="b">
        <v>0</v>
      </c>
    </row>
    <row r="60" spans="1:9" x14ac:dyDescent="0.25">
      <c r="A60" s="4" t="s">
        <v>919</v>
      </c>
      <c r="B60" s="4" t="s">
        <v>592</v>
      </c>
      <c r="C60" s="4">
        <v>17</v>
      </c>
      <c r="D60" s="4">
        <v>4</v>
      </c>
      <c r="E60" s="4">
        <v>9</v>
      </c>
      <c r="F60" s="4">
        <v>12</v>
      </c>
      <c r="G60" s="4">
        <v>3</v>
      </c>
      <c r="H60" s="4">
        <v>9</v>
      </c>
      <c r="I60" s="4" t="b">
        <v>0</v>
      </c>
    </row>
    <row r="61" spans="1:9" x14ac:dyDescent="0.25">
      <c r="A61" s="4" t="s">
        <v>919</v>
      </c>
      <c r="B61" s="4" t="s">
        <v>593</v>
      </c>
      <c r="C61" s="4">
        <v>7</v>
      </c>
      <c r="D61" s="4">
        <v>6</v>
      </c>
      <c r="E61" s="4">
        <v>4</v>
      </c>
      <c r="F61" s="4">
        <v>7</v>
      </c>
      <c r="G61" s="4">
        <v>1</v>
      </c>
      <c r="H61" s="4">
        <v>4</v>
      </c>
      <c r="I61" s="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"/>
  <sheetViews>
    <sheetView workbookViewId="0"/>
  </sheetViews>
  <sheetFormatPr defaultRowHeight="15" x14ac:dyDescent="0.25"/>
  <cols>
    <col min="1" max="1" width="60" customWidth="1"/>
    <col min="2" max="2" width="18" customWidth="1"/>
    <col min="3" max="3" width="20" customWidth="1"/>
    <col min="4" max="4" width="26" customWidth="1"/>
  </cols>
  <sheetData>
    <row r="1" spans="1:4" ht="18.75" x14ac:dyDescent="0.3">
      <c r="A1" s="1" t="s">
        <v>920</v>
      </c>
    </row>
    <row r="2" spans="1:4" x14ac:dyDescent="0.25">
      <c r="A2" s="2" t="s">
        <v>921</v>
      </c>
    </row>
    <row r="4" spans="1:4" ht="30" x14ac:dyDescent="0.25">
      <c r="A4" s="3" t="s">
        <v>922</v>
      </c>
      <c r="B4" s="3" t="s">
        <v>923</v>
      </c>
      <c r="C4" s="3" t="s">
        <v>924</v>
      </c>
      <c r="D4" s="3" t="s">
        <v>925</v>
      </c>
    </row>
    <row r="5" spans="1:4" x14ac:dyDescent="0.25">
      <c r="A5" s="4" t="s">
        <v>926</v>
      </c>
      <c r="B5" s="4" t="s">
        <v>927</v>
      </c>
      <c r="C5" s="4" t="s">
        <v>928</v>
      </c>
      <c r="D5" s="4" t="s">
        <v>929</v>
      </c>
    </row>
    <row r="6" spans="1:4" x14ac:dyDescent="0.25">
      <c r="A6" s="4" t="s">
        <v>930</v>
      </c>
      <c r="B6" s="4" t="s">
        <v>543</v>
      </c>
      <c r="C6" s="4" t="s">
        <v>931</v>
      </c>
      <c r="D6" s="4" t="s">
        <v>932</v>
      </c>
    </row>
    <row r="7" spans="1:4" x14ac:dyDescent="0.25">
      <c r="A7" s="4" t="s">
        <v>933</v>
      </c>
      <c r="B7" s="4" t="s">
        <v>543</v>
      </c>
      <c r="C7" s="4" t="s">
        <v>934</v>
      </c>
      <c r="D7" s="4" t="s">
        <v>935</v>
      </c>
    </row>
    <row r="8" spans="1:4" x14ac:dyDescent="0.25">
      <c r="A8" s="4" t="s">
        <v>936</v>
      </c>
      <c r="B8" s="4" t="s">
        <v>937</v>
      </c>
      <c r="C8" s="4" t="s">
        <v>938</v>
      </c>
      <c r="D8" s="4" t="s">
        <v>939</v>
      </c>
    </row>
    <row r="9" spans="1:4" x14ac:dyDescent="0.25">
      <c r="A9" s="4" t="s">
        <v>940</v>
      </c>
      <c r="B9" s="4" t="s">
        <v>941</v>
      </c>
      <c r="C9" s="4" t="s">
        <v>942</v>
      </c>
      <c r="D9" s="4" t="s">
        <v>943</v>
      </c>
    </row>
    <row r="10" spans="1:4" x14ac:dyDescent="0.25">
      <c r="A10" s="4" t="s">
        <v>944</v>
      </c>
      <c r="B10" s="4" t="s">
        <v>941</v>
      </c>
      <c r="C10" s="4" t="s">
        <v>945</v>
      </c>
      <c r="D10" s="4" t="s">
        <v>946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0"/>
  <sheetViews>
    <sheetView workbookViewId="0"/>
  </sheetViews>
  <sheetFormatPr defaultRowHeight="15" x14ac:dyDescent="0.25"/>
  <cols>
    <col min="1" max="1" width="9" customWidth="1"/>
    <col min="2" max="2" width="70" customWidth="1"/>
    <col min="3" max="3" width="13" customWidth="1"/>
    <col min="4" max="4" width="15" customWidth="1"/>
    <col min="5" max="5" width="8" customWidth="1"/>
  </cols>
  <sheetData>
    <row r="1" spans="1:5" ht="18.75" x14ac:dyDescent="0.3">
      <c r="A1" s="1" t="s">
        <v>947</v>
      </c>
    </row>
    <row r="4" spans="1:5" ht="30" x14ac:dyDescent="0.25">
      <c r="A4" s="3" t="s">
        <v>526</v>
      </c>
      <c r="B4" s="3" t="s">
        <v>948</v>
      </c>
      <c r="C4" s="3" t="s">
        <v>949</v>
      </c>
      <c r="D4" s="3" t="s">
        <v>950</v>
      </c>
      <c r="E4" s="3" t="s">
        <v>918</v>
      </c>
    </row>
    <row r="5" spans="1:5" x14ac:dyDescent="0.25">
      <c r="A5" s="4" t="s">
        <v>541</v>
      </c>
      <c r="B5" s="4" t="s">
        <v>951</v>
      </c>
      <c r="C5" s="4">
        <v>31</v>
      </c>
      <c r="D5" s="4">
        <v>31</v>
      </c>
      <c r="E5" s="4" t="b">
        <v>1</v>
      </c>
    </row>
    <row r="6" spans="1:5" x14ac:dyDescent="0.25">
      <c r="A6" s="4" t="s">
        <v>531</v>
      </c>
      <c r="B6" s="4" t="s">
        <v>952</v>
      </c>
      <c r="C6" s="4">
        <v>78</v>
      </c>
      <c r="D6" s="4">
        <v>78</v>
      </c>
      <c r="E6" s="4" t="b">
        <v>1</v>
      </c>
    </row>
    <row r="7" spans="1:5" x14ac:dyDescent="0.25">
      <c r="A7" s="4" t="s">
        <v>533</v>
      </c>
      <c r="B7" s="4" t="s">
        <v>953</v>
      </c>
      <c r="C7" s="4">
        <v>78</v>
      </c>
      <c r="D7" s="4">
        <v>78</v>
      </c>
      <c r="E7" s="4" t="b">
        <v>1</v>
      </c>
    </row>
    <row r="8" spans="1:5" x14ac:dyDescent="0.25">
      <c r="A8" s="4" t="s">
        <v>535</v>
      </c>
      <c r="B8" s="4" t="s">
        <v>954</v>
      </c>
      <c r="C8" s="4">
        <v>78</v>
      </c>
      <c r="D8" s="4">
        <v>78</v>
      </c>
      <c r="E8" s="4" t="b">
        <v>1</v>
      </c>
    </row>
    <row r="9" spans="1:5" x14ac:dyDescent="0.25">
      <c r="A9" s="4" t="s">
        <v>539</v>
      </c>
      <c r="B9" s="4" t="s">
        <v>955</v>
      </c>
      <c r="C9" s="4">
        <v>58</v>
      </c>
      <c r="D9" s="4">
        <v>58</v>
      </c>
      <c r="E9" s="4" t="b">
        <v>1</v>
      </c>
    </row>
    <row r="10" spans="1:5" x14ac:dyDescent="0.25">
      <c r="A10" s="4" t="s">
        <v>537</v>
      </c>
      <c r="B10" s="4" t="s">
        <v>956</v>
      </c>
      <c r="C10" s="4">
        <v>72</v>
      </c>
      <c r="D10" s="4">
        <v>72</v>
      </c>
      <c r="E10" s="4" t="b">
        <v>1</v>
      </c>
    </row>
    <row r="11" spans="1:5" x14ac:dyDescent="0.25">
      <c r="A11" s="4" t="s">
        <v>529</v>
      </c>
      <c r="B11" s="4" t="s">
        <v>957</v>
      </c>
      <c r="C11" s="4">
        <v>81</v>
      </c>
      <c r="D11" s="4">
        <v>81</v>
      </c>
      <c r="E11" s="4" t="b">
        <v>1</v>
      </c>
    </row>
    <row r="12" spans="1:5" x14ac:dyDescent="0.25">
      <c r="A12" s="4" t="s">
        <v>543</v>
      </c>
      <c r="B12" s="4" t="s">
        <v>958</v>
      </c>
      <c r="C12" s="4">
        <v>11</v>
      </c>
      <c r="D12" s="4">
        <v>11</v>
      </c>
      <c r="E12" s="4" t="b">
        <v>1</v>
      </c>
    </row>
    <row r="13" spans="1:5" x14ac:dyDescent="0.25">
      <c r="A13" s="4" t="s">
        <v>545</v>
      </c>
      <c r="B13" s="4" t="s">
        <v>959</v>
      </c>
      <c r="C13" s="4">
        <v>45</v>
      </c>
      <c r="D13" s="4">
        <v>45</v>
      </c>
      <c r="E13" s="4" t="b">
        <v>1</v>
      </c>
    </row>
    <row r="14" spans="1:5" x14ac:dyDescent="0.25">
      <c r="A14" s="4" t="s">
        <v>547</v>
      </c>
      <c r="B14" s="4" t="s">
        <v>960</v>
      </c>
      <c r="C14" s="4">
        <v>81</v>
      </c>
      <c r="D14" s="4">
        <v>81</v>
      </c>
      <c r="E14" s="4" t="b">
        <v>1</v>
      </c>
    </row>
    <row r="15" spans="1:5" x14ac:dyDescent="0.25">
      <c r="A15" s="4" t="s">
        <v>549</v>
      </c>
      <c r="B15" s="4" t="s">
        <v>961</v>
      </c>
      <c r="C15" s="4">
        <v>47</v>
      </c>
      <c r="D15" s="4">
        <v>47</v>
      </c>
      <c r="E15" s="4" t="b">
        <v>1</v>
      </c>
    </row>
    <row r="16" spans="1:5" x14ac:dyDescent="0.25">
      <c r="A16" s="4" t="s">
        <v>551</v>
      </c>
      <c r="B16" s="4" t="s">
        <v>962</v>
      </c>
      <c r="C16" s="4">
        <v>38</v>
      </c>
      <c r="D16" s="4">
        <v>38</v>
      </c>
      <c r="E16" s="4" t="b">
        <v>1</v>
      </c>
    </row>
    <row r="17" spans="1:5" x14ac:dyDescent="0.25">
      <c r="A17" s="4" t="s">
        <v>553</v>
      </c>
      <c r="B17" s="4" t="s">
        <v>963</v>
      </c>
      <c r="C17" s="4">
        <v>17</v>
      </c>
      <c r="D17" s="4">
        <v>17</v>
      </c>
      <c r="E17" s="4" t="b">
        <v>1</v>
      </c>
    </row>
    <row r="18" spans="1:5" x14ac:dyDescent="0.25">
      <c r="A18" s="4" t="s">
        <v>555</v>
      </c>
      <c r="B18" s="4" t="s">
        <v>964</v>
      </c>
      <c r="C18" s="4">
        <v>17</v>
      </c>
      <c r="D18" s="4">
        <v>17</v>
      </c>
      <c r="E18" s="4" t="b">
        <v>1</v>
      </c>
    </row>
    <row r="19" spans="1:5" x14ac:dyDescent="0.25">
      <c r="A19" s="4" t="s">
        <v>559</v>
      </c>
      <c r="B19" s="4" t="s">
        <v>965</v>
      </c>
      <c r="C19" s="4">
        <v>25</v>
      </c>
      <c r="D19" s="4">
        <v>25</v>
      </c>
      <c r="E19" s="4" t="b">
        <v>1</v>
      </c>
    </row>
    <row r="20" spans="1:5" x14ac:dyDescent="0.25">
      <c r="A20" s="4" t="s">
        <v>561</v>
      </c>
      <c r="B20" s="4" t="s">
        <v>966</v>
      </c>
      <c r="C20" s="4">
        <v>25</v>
      </c>
      <c r="D20" s="4">
        <v>25</v>
      </c>
      <c r="E20" s="4" t="b">
        <v>1</v>
      </c>
    </row>
    <row r="21" spans="1:5" x14ac:dyDescent="0.25">
      <c r="A21" s="4" t="s">
        <v>557</v>
      </c>
      <c r="B21" s="4" t="s">
        <v>967</v>
      </c>
      <c r="C21" s="4">
        <v>17</v>
      </c>
      <c r="D21" s="4">
        <v>17</v>
      </c>
      <c r="E21" s="4" t="b">
        <v>1</v>
      </c>
    </row>
    <row r="22" spans="1:5" x14ac:dyDescent="0.25">
      <c r="A22" s="4" t="s">
        <v>565</v>
      </c>
      <c r="B22" s="4" t="s">
        <v>968</v>
      </c>
      <c r="C22" s="4">
        <v>21</v>
      </c>
      <c r="D22" s="4">
        <v>21</v>
      </c>
      <c r="E22" s="4" t="b">
        <v>1</v>
      </c>
    </row>
    <row r="23" spans="1:5" x14ac:dyDescent="0.25">
      <c r="A23" s="4" t="s">
        <v>563</v>
      </c>
      <c r="B23" s="4" t="s">
        <v>969</v>
      </c>
      <c r="C23" s="4">
        <v>49</v>
      </c>
      <c r="D23" s="4">
        <v>49</v>
      </c>
      <c r="E23" s="4" t="b">
        <v>1</v>
      </c>
    </row>
    <row r="24" spans="1:5" x14ac:dyDescent="0.25">
      <c r="A24" s="4" t="s">
        <v>569</v>
      </c>
      <c r="B24" s="4" t="s">
        <v>970</v>
      </c>
      <c r="C24" s="4">
        <v>30</v>
      </c>
      <c r="D24" s="4">
        <v>30</v>
      </c>
      <c r="E24" s="4" t="b">
        <v>1</v>
      </c>
    </row>
    <row r="25" spans="1:5" x14ac:dyDescent="0.25">
      <c r="A25" s="4" t="s">
        <v>567</v>
      </c>
      <c r="B25" s="4" t="s">
        <v>971</v>
      </c>
      <c r="C25" s="4">
        <v>31</v>
      </c>
      <c r="D25" s="4">
        <v>31</v>
      </c>
      <c r="E25" s="4" t="b">
        <v>1</v>
      </c>
    </row>
    <row r="26" spans="1:5" x14ac:dyDescent="0.25">
      <c r="A26" s="4" t="s">
        <v>571</v>
      </c>
      <c r="B26" s="4" t="s">
        <v>972</v>
      </c>
      <c r="C26" s="4">
        <v>28</v>
      </c>
      <c r="D26" s="4">
        <v>28</v>
      </c>
      <c r="E26" s="4" t="b">
        <v>1</v>
      </c>
    </row>
    <row r="27" spans="1:5" x14ac:dyDescent="0.25">
      <c r="A27" s="4" t="s">
        <v>573</v>
      </c>
      <c r="B27" s="4" t="s">
        <v>973</v>
      </c>
      <c r="C27" s="4">
        <v>44</v>
      </c>
      <c r="D27" s="4">
        <v>44</v>
      </c>
      <c r="E27" s="4" t="b">
        <v>1</v>
      </c>
    </row>
    <row r="28" spans="1:5" x14ac:dyDescent="0.25">
      <c r="B28" s="6" t="s">
        <v>53</v>
      </c>
      <c r="C28" s="6">
        <f>SUM(C5:C27)</f>
        <v>1002</v>
      </c>
      <c r="D28" s="6">
        <f>SUM(D5:D27)</f>
        <v>1002</v>
      </c>
    </row>
    <row r="30" spans="1:5" x14ac:dyDescent="0.25">
      <c r="A30" s="2" t="s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P1 Country x type</vt:lpstr>
      <vt:lpstr>P1 Regulations</vt:lpstr>
      <vt:lpstr>P1 Requirements per site</vt:lpstr>
      <vt:lpstr>P1 KPIs</vt:lpstr>
      <vt:lpstr>P2 Site criticality</vt:lpstr>
      <vt:lpstr>P2 Site status (checklist)</vt:lpstr>
      <vt:lpstr>P2 Crit x status (checklist)</vt:lpstr>
      <vt:lpstr>P2 Key activity (checklist)</vt:lpstr>
      <vt:lpstr>P2 Report dots</vt:lpstr>
      <vt:lpstr>P3 Cluster business</vt:lpstr>
      <vt:lpstr>P3 Cluster KPIs</vt:lpstr>
      <vt:lpstr>P3 Cluster mix</vt:lpstr>
      <vt:lpstr>P3 Site heatmap</vt:lpstr>
      <vt:lpstr>P4 Global high</vt:lpstr>
      <vt:lpstr>P4 High by cluster</vt:lpstr>
      <vt:lpstr>P4 High mix</vt:lpstr>
      <vt:lpstr>P4 All criticality</vt:lpstr>
      <vt:lpstr>P4 KPIs</vt:lpstr>
      <vt:lpstr>QA Deck vs checklist</vt:lpstr>
      <vt:lpstr>QA Deck internal</vt:lpstr>
      <vt:lpstr>QA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Bhatia</cp:lastModifiedBy>
  <dcterms:created xsi:type="dcterms:W3CDTF">2026-10-01T22:18:41Z</dcterms:created>
  <dcterms:modified xsi:type="dcterms:W3CDTF">2026-10-01T23:08:14Z</dcterms:modified>
</cp:coreProperties>
</file>